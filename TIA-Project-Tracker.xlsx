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LL\Downloads\TIA\"/>
    </mc:Choice>
  </mc:AlternateContent>
  <xr:revisionPtr revIDLastSave="0" documentId="13_ncr:1_{B504768B-F894-44B0-92F7-9F1BA8A5E2A9}" xr6:coauthVersionLast="47" xr6:coauthVersionMax="47" xr10:uidLastSave="{00000000-0000-0000-0000-000000000000}"/>
  <bookViews>
    <workbookView xWindow="20" yWindow="0" windowWidth="19180" windowHeight="10080" xr2:uid="{00000000-000D-0000-FFFF-FFFF00000000}"/>
  </bookViews>
  <sheets>
    <sheet name="Dashboard" sheetId="1" r:id="rId1"/>
    <sheet name="Task Tracker" sheetId="2" r:id="rId2"/>
    <sheet name="Next Tasks" sheetId="3" r:id="rId3"/>
    <sheet name="Requirements" sheetId="4" r:id="rId4"/>
    <sheet name="Acceptance Criteria" sheetId="5" r:id="rId5"/>
    <sheet name="Use Cases" sheetId="6" r:id="rId6"/>
    <sheet name="UC1 Definition of Done" sheetId="7" r:id="rId7"/>
    <sheet name="Decisions &amp; Risks" sheetId="8" r:id="rId8"/>
    <sheet name="Legend" sheetId="9" r:id="rId9"/>
  </sheets>
  <definedNames>
    <definedName name="_xlnm._FilterDatabase" localSheetId="4" hidden="1">'Acceptance Criteria'!$A$1:$F$42</definedName>
    <definedName name="_xlnm._FilterDatabase" localSheetId="3" hidden="1">Requirements!$A$1:$F$70</definedName>
    <definedName name="_xlnm._FilterDatabase" localSheetId="1" hidden="1">'Task Tracker'!$A$1:$P$101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7" l="1"/>
  <c r="B3" i="7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I32" i="3"/>
  <c r="H32" i="3"/>
  <c r="G32" i="3"/>
  <c r="F32" i="3"/>
  <c r="E32" i="3"/>
  <c r="D32" i="3"/>
  <c r="C32" i="3"/>
  <c r="B32" i="3"/>
  <c r="I31" i="3"/>
  <c r="H31" i="3"/>
  <c r="G31" i="3"/>
  <c r="F31" i="3"/>
  <c r="E31" i="3"/>
  <c r="D31" i="3"/>
  <c r="C31" i="3"/>
  <c r="B31" i="3"/>
  <c r="I30" i="3"/>
  <c r="H30" i="3"/>
  <c r="G30" i="3"/>
  <c r="F30" i="3"/>
  <c r="E30" i="3"/>
  <c r="D30" i="3"/>
  <c r="C30" i="3"/>
  <c r="B30" i="3"/>
  <c r="I29" i="3"/>
  <c r="H29" i="3"/>
  <c r="G29" i="3"/>
  <c r="F29" i="3"/>
  <c r="E29" i="3"/>
  <c r="D29" i="3"/>
  <c r="C29" i="3"/>
  <c r="B29" i="3"/>
  <c r="I28" i="3"/>
  <c r="H28" i="3"/>
  <c r="G28" i="3"/>
  <c r="F28" i="3"/>
  <c r="E28" i="3"/>
  <c r="D28" i="3"/>
  <c r="C28" i="3"/>
  <c r="B28" i="3"/>
  <c r="I27" i="3"/>
  <c r="H27" i="3"/>
  <c r="G27" i="3"/>
  <c r="F27" i="3"/>
  <c r="E27" i="3"/>
  <c r="D27" i="3"/>
  <c r="C27" i="3"/>
  <c r="B27" i="3"/>
  <c r="I26" i="3"/>
  <c r="H26" i="3"/>
  <c r="G26" i="3"/>
  <c r="F26" i="3"/>
  <c r="E26" i="3"/>
  <c r="D26" i="3"/>
  <c r="C26" i="3"/>
  <c r="B26" i="3"/>
  <c r="I25" i="3"/>
  <c r="H25" i="3"/>
  <c r="G25" i="3"/>
  <c r="F25" i="3"/>
  <c r="E25" i="3"/>
  <c r="D25" i="3"/>
  <c r="C25" i="3"/>
  <c r="B25" i="3"/>
  <c r="I24" i="3"/>
  <c r="H24" i="3"/>
  <c r="G24" i="3"/>
  <c r="F24" i="3"/>
  <c r="E24" i="3"/>
  <c r="D24" i="3"/>
  <c r="C24" i="3"/>
  <c r="B24" i="3"/>
  <c r="I23" i="3"/>
  <c r="H23" i="3"/>
  <c r="G23" i="3"/>
  <c r="F23" i="3"/>
  <c r="E23" i="3"/>
  <c r="D23" i="3"/>
  <c r="C23" i="3"/>
  <c r="B23" i="3"/>
  <c r="I22" i="3"/>
  <c r="H22" i="3"/>
  <c r="G22" i="3"/>
  <c r="F22" i="3"/>
  <c r="E22" i="3"/>
  <c r="D22" i="3"/>
  <c r="C22" i="3"/>
  <c r="B22" i="3"/>
  <c r="I21" i="3"/>
  <c r="H21" i="3"/>
  <c r="G21" i="3"/>
  <c r="F21" i="3"/>
  <c r="E21" i="3"/>
  <c r="D21" i="3"/>
  <c r="C21" i="3"/>
  <c r="B21" i="3"/>
  <c r="I20" i="3"/>
  <c r="H20" i="3"/>
  <c r="G20" i="3"/>
  <c r="F20" i="3"/>
  <c r="E20" i="3"/>
  <c r="D20" i="3"/>
  <c r="C20" i="3"/>
  <c r="B20" i="3"/>
  <c r="I19" i="3"/>
  <c r="H19" i="3"/>
  <c r="G19" i="3"/>
  <c r="F19" i="3"/>
  <c r="E19" i="3"/>
  <c r="D19" i="3"/>
  <c r="C19" i="3"/>
  <c r="B19" i="3"/>
  <c r="I18" i="3"/>
  <c r="H18" i="3"/>
  <c r="G18" i="3"/>
  <c r="F18" i="3"/>
  <c r="E18" i="3"/>
  <c r="D18" i="3"/>
  <c r="C18" i="3"/>
  <c r="B18" i="3"/>
  <c r="I17" i="3"/>
  <c r="H17" i="3"/>
  <c r="G17" i="3"/>
  <c r="F17" i="3"/>
  <c r="E17" i="3"/>
  <c r="D17" i="3"/>
  <c r="C17" i="3"/>
  <c r="B17" i="3"/>
  <c r="I16" i="3"/>
  <c r="H16" i="3"/>
  <c r="G16" i="3"/>
  <c r="F16" i="3"/>
  <c r="E16" i="3"/>
  <c r="D16" i="3"/>
  <c r="C16" i="3"/>
  <c r="B16" i="3"/>
  <c r="I15" i="3"/>
  <c r="H15" i="3"/>
  <c r="G15" i="3"/>
  <c r="F15" i="3"/>
  <c r="E15" i="3"/>
  <c r="D15" i="3"/>
  <c r="C15" i="3"/>
  <c r="B15" i="3"/>
  <c r="I14" i="3"/>
  <c r="H14" i="3"/>
  <c r="G14" i="3"/>
  <c r="F14" i="3"/>
  <c r="E14" i="3"/>
  <c r="D14" i="3"/>
  <c r="C14" i="3"/>
  <c r="B14" i="3"/>
  <c r="I13" i="3"/>
  <c r="H13" i="3"/>
  <c r="G13" i="3"/>
  <c r="F13" i="3"/>
  <c r="E13" i="3"/>
  <c r="D13" i="3"/>
  <c r="C13" i="3"/>
  <c r="B13" i="3"/>
  <c r="I12" i="3"/>
  <c r="H12" i="3"/>
  <c r="G12" i="3"/>
  <c r="F12" i="3"/>
  <c r="E12" i="3"/>
  <c r="D12" i="3"/>
  <c r="C12" i="3"/>
  <c r="B12" i="3"/>
  <c r="I11" i="3"/>
  <c r="H11" i="3"/>
  <c r="G11" i="3"/>
  <c r="F11" i="3"/>
  <c r="E11" i="3"/>
  <c r="D11" i="3"/>
  <c r="C11" i="3"/>
  <c r="B11" i="3"/>
  <c r="I10" i="3"/>
  <c r="H10" i="3"/>
  <c r="G10" i="3"/>
  <c r="F10" i="3"/>
  <c r="E10" i="3"/>
  <c r="D10" i="3"/>
  <c r="C10" i="3"/>
  <c r="B10" i="3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H20" i="1"/>
  <c r="G20" i="1"/>
  <c r="E20" i="1"/>
  <c r="D20" i="1"/>
  <c r="C20" i="1"/>
  <c r="B20" i="1"/>
  <c r="H19" i="1"/>
  <c r="G19" i="1"/>
  <c r="E19" i="1"/>
  <c r="D19" i="1"/>
  <c r="C19" i="1"/>
  <c r="F19" i="1" s="1"/>
  <c r="B19" i="1"/>
  <c r="H18" i="1"/>
  <c r="G18" i="1"/>
  <c r="E18" i="1"/>
  <c r="D18" i="1"/>
  <c r="C18" i="1"/>
  <c r="B18" i="1"/>
  <c r="H17" i="1"/>
  <c r="H21" i="1" s="1"/>
  <c r="G17" i="1"/>
  <c r="G21" i="1" s="1"/>
  <c r="E17" i="1"/>
  <c r="D17" i="1"/>
  <c r="C17" i="1"/>
  <c r="F17" i="1" s="1"/>
  <c r="B17" i="1"/>
  <c r="E16" i="1"/>
  <c r="E21" i="1" s="1"/>
  <c r="D16" i="1"/>
  <c r="D21" i="1" s="1"/>
  <c r="C16" i="1"/>
  <c r="B16" i="1"/>
  <c r="B21" i="1" s="1"/>
  <c r="B12" i="1"/>
  <c r="B10" i="1"/>
  <c r="H9" i="1"/>
  <c r="E9" i="1"/>
  <c r="B9" i="1"/>
  <c r="H8" i="1"/>
  <c r="E8" i="1"/>
  <c r="B8" i="1"/>
  <c r="H7" i="1"/>
  <c r="H10" i="1" s="1"/>
  <c r="E7" i="1"/>
  <c r="B7" i="1"/>
  <c r="B11" i="1" s="1"/>
  <c r="H6" i="1"/>
  <c r="E6" i="1"/>
  <c r="B6" i="1"/>
  <c r="F20" i="1" l="1"/>
  <c r="F18" i="1"/>
  <c r="F16" i="1"/>
  <c r="C21" i="1"/>
  <c r="F21" i="1" s="1"/>
  <c r="B23" i="1"/>
  <c r="E10" i="1"/>
</calcChain>
</file>

<file path=xl/sharedStrings.xml><?xml version="1.0" encoding="utf-8"?>
<sst xmlns="http://schemas.openxmlformats.org/spreadsheetml/2006/main" count="2019" uniqueCount="1066">
  <si>
    <t>TIA Enterprise - delivery dashboard</t>
  </si>
  <si>
    <t>Formulas over the other sheets. Edit blue cells on Task Tracker / Requirements / Acceptance Criteria.</t>
  </si>
  <si>
    <t>Last updated</t>
  </si>
  <si>
    <t>Tasks</t>
  </si>
  <si>
    <t>Requirements (FR / PL / NFR)</t>
  </si>
  <si>
    <t>Acceptance criteria</t>
  </si>
  <si>
    <t>Total tasks</t>
  </si>
  <si>
    <t>Total</t>
  </si>
  <si>
    <t>Completed</t>
  </si>
  <si>
    <t>Done</t>
  </si>
  <si>
    <t>In progress</t>
  </si>
  <si>
    <t>Partial</t>
  </si>
  <si>
    <t>Not started</t>
  </si>
  <si>
    <t>Blocked</t>
  </si>
  <si>
    <t>% done</t>
  </si>
  <si>
    <t>% tasks completed</t>
  </si>
  <si>
    <t>Consistency: Completed rows not at 100%</t>
  </si>
  <si>
    <t>By release</t>
  </si>
  <si>
    <t>Release</t>
  </si>
  <si>
    <t>% tasks done</t>
  </si>
  <si>
    <t>ACs done</t>
  </si>
  <si>
    <t>ACs total</t>
  </si>
  <si>
    <t>0 Specification</t>
  </si>
  <si>
    <t>R1 Platform foundation &amp; cross-repo impact</t>
  </si>
  <si>
    <t>R2 Enterprise evidence &amp; governance</t>
  </si>
  <si>
    <t>R3 Operational intelligence &amp; scale</t>
  </si>
  <si>
    <t>R4 Extended coverage &amp; advanced (GA)</t>
  </si>
  <si>
    <t>GA readiness (all requirements Done and all acceptance criteria Done)</t>
  </si>
  <si>
    <t>ID</t>
  </si>
  <si>
    <t>Workstream</t>
  </si>
  <si>
    <t>Task</t>
  </si>
  <si>
    <t>Details / acceptance</t>
  </si>
  <si>
    <t>Requirement refs</t>
  </si>
  <si>
    <t>Output / location</t>
  </si>
  <si>
    <t>Priority</t>
  </si>
  <si>
    <t>Status</t>
  </si>
  <si>
    <t>% Complete</t>
  </si>
  <si>
    <t>Effort (rough)</t>
  </si>
  <si>
    <t>Depends on</t>
  </si>
  <si>
    <t>Next order</t>
  </si>
  <si>
    <t>Completed on</t>
  </si>
  <si>
    <t>Verified by</t>
  </si>
  <si>
    <t>Notes</t>
  </si>
  <si>
    <t>T-001</t>
  </si>
  <si>
    <t>Specification</t>
  </si>
  <si>
    <t>Review PRD v2.0 and companion documents</t>
  </si>
  <si>
    <t>Critique; cross-document contradictions.</t>
  </si>
  <si>
    <t>-</t>
  </si>
  <si>
    <t>chat review</t>
  </si>
  <si>
    <t>P0</t>
  </si>
  <si>
    <t>M</t>
  </si>
  <si>
    <t>Docs rendered and reviewed</t>
  </si>
  <si>
    <t>T-002</t>
  </si>
  <si>
    <t>Rewrite PRD v2.1, ARCHITECTURE v1.1, TFD v1.1</t>
  </si>
  <si>
    <t>Resolution strategies, severity model, canonical model, corrected diagrams.</t>
  </si>
  <si>
    <t>revised/*.md, *.pdf</t>
  </si>
  <si>
    <t>T-003</t>
  </si>
  <si>
    <t>Re-plan as enterprise product: PRD v3.0, ARCH/TFD v1.2</t>
  </si>
  <si>
    <t>Removed MVP/pilot; Releases 1-4; all requirements mandatory; FR-039..045, PL-001..012, AC-021..038.</t>
  </si>
  <si>
    <t>T-004</t>
  </si>
  <si>
    <t>SaaS multi-tenant model: PRD v3.1, ARCH/TFD v1.3</t>
  </si>
  <si>
    <t>Shared schema + RLS, dedicated option, PL-013..018, AC-039..041.</t>
  </si>
  <si>
    <t>T-005</t>
  </si>
  <si>
    <t>Resume file summary.md</t>
  </si>
  <si>
    <t>Narrative log for session recovery.</t>
  </si>
  <si>
    <t>summary.md</t>
  </si>
  <si>
    <t>T-006</t>
  </si>
  <si>
    <t>Project tracker workbook</t>
  </si>
  <si>
    <t>This file; requirement traceability.</t>
  </si>
  <si>
    <t>TIA-Project-Tracker.xlsx</t>
  </si>
  <si>
    <t>T-007</t>
  </si>
  <si>
    <t>Engine</t>
  </si>
  <si>
    <t>Canonical data model, statuses, path normalisation</t>
  </si>
  <si>
    <t>Entities, evidence/analysis statuses.</t>
  </si>
  <si>
    <t>FR-008 FR-010</t>
  </si>
  <si>
    <t>tia/models.py</t>
  </si>
  <si>
    <t>test_normalize_path</t>
  </si>
  <si>
    <t>T-008</t>
  </si>
  <si>
    <t>Read-only git access</t>
  </si>
  <si>
    <t>Revisions, trees, diffs; never executes repo code.</t>
  </si>
  <si>
    <t>FR-002</t>
  </si>
  <si>
    <t>tia/gitutil.py</t>
  </si>
  <si>
    <t>acceptance tests</t>
  </si>
  <si>
    <t>Local clones only until GitHub App connector</t>
  </si>
  <si>
    <t>T-009</t>
  </si>
  <si>
    <t>Extraction</t>
  </si>
  <si>
    <t>Python adapter: endpoints, schemas, functions, outbound calls, tests</t>
  </si>
  <si>
    <t>FastAPI/Flask, pydantic, requests/httpx, generated clients.</t>
  </si>
  <si>
    <t>FR-004 FR-012 FR-017</t>
  </si>
  <si>
    <t>tia/extract_python.py</t>
  </si>
  <si>
    <t>test_units.py, AC-002/004</t>
  </si>
  <si>
    <t>T-010</t>
  </si>
  <si>
    <t>Resolution</t>
  </si>
  <si>
    <t>Cross-repo resolution R1, R2, R3, R5 + corroboration</t>
  </si>
  <si>
    <t>Service map (R4) input; never by name alone.</t>
  </si>
  <si>
    <t>FR-014</t>
  </si>
  <si>
    <t>tia/resolve.py</t>
  </si>
  <si>
    <t>AC-004/018/019 tests</t>
  </si>
  <si>
    <t>T-011</t>
  </si>
  <si>
    <t>Typed graph, test association</t>
  </si>
  <si>
    <t>Impact-direction index; import/HTTP/naming association.</t>
  </si>
  <si>
    <t>FR-013 FR-021</t>
  </si>
  <si>
    <t>tia/graph.py</t>
  </si>
  <si>
    <t>AC-003/006 tests</t>
  </si>
  <si>
    <t>T-012</t>
  </si>
  <si>
    <t>Basic REST contract diff</t>
  </si>
  <si>
    <t>P0 list; others 'not evaluated'.</t>
  </si>
  <si>
    <t>FR-018</t>
  </si>
  <si>
    <t>tia/contracts.py</t>
  </si>
  <si>
    <t>test_removed_endpoint_is_breaking</t>
  </si>
  <si>
    <t>T-013</t>
  </si>
  <si>
    <t>Severity and materiality rules</t>
  </si>
  <si>
    <t>Change nature x criticality; inferred cap.</t>
  </si>
  <si>
    <t>PRD-7.3</t>
  </si>
  <si>
    <t>tia/severity.py</t>
  </si>
  <si>
    <t>test_severity_*</t>
  </si>
  <si>
    <t>T-014</t>
  </si>
  <si>
    <t>Impact engine: bounded traversal, unknowns, status</t>
  </si>
  <si>
    <t>Two-pass BFS, limits, coverage, status semantics.</t>
  </si>
  <si>
    <t>FR-013 FR-015 FR-016</t>
  </si>
  <si>
    <t>tia/impact.py</t>
  </si>
  <si>
    <t>AC-009/010/012 tests</t>
  </si>
  <si>
    <t>T-015</t>
  </si>
  <si>
    <t>Reporting</t>
  </si>
  <si>
    <t>JSON report, PR comment renderer, audience redaction</t>
  </si>
  <si>
    <t>Single-marker advisory comment; no leaks.</t>
  </si>
  <si>
    <t>FR-035 PL-002</t>
  </si>
  <si>
    <t>tia/report.py</t>
  </si>
  <si>
    <t>AC-016/020 tests</t>
  </si>
  <si>
    <t>T-016</t>
  </si>
  <si>
    <t>Interfaces</t>
  </si>
  <si>
    <t>CLI analyze + FastAPI wrapper</t>
  </si>
  <si>
    <t>Synchronous API; header-based audience placeholder.</t>
  </si>
  <si>
    <t>PL-008</t>
  </si>
  <si>
    <t>tia/cli.py, tia/api.py</t>
  </si>
  <si>
    <t>test_api.py</t>
  </si>
  <si>
    <t>T-017</t>
  </si>
  <si>
    <t>Connectors</t>
  </si>
  <si>
    <t>Repository ingestion service: GitHub, Azure DevOps, any git URL, file:// URL, local path</t>
  </si>
  <si>
    <t>Clone/sync via git; PAT via env only; PR ref fetch by number; merge-base; friendly errors; host allow-list; local paths gated.</t>
  </si>
  <si>
    <t>FR-001 FR-039(partial)</t>
  </si>
  <si>
    <t>tia/repos.py</t>
  </si>
  <si>
    <t>tests/test_ingest.py (real git repos; real GitHub clone checked manually)</t>
  </si>
  <si>
    <t>Token auth for private repos untested against real ADO/GitHub (no credentials here)</t>
  </si>
  <si>
    <t>T-018</t>
  </si>
  <si>
    <t>Bulk discovery: whole ADO project / GitHub org or user</t>
  </si>
  <si>
    <t>REST listing + ingest all; supports on-prem ADO / GHE api_base.</t>
  </si>
  <si>
    <t>FR-001</t>
  </si>
  <si>
    <t>test_discover_ado_and_github (fake API servers only)</t>
  </si>
  <si>
    <t>Needs real PAT to verify</t>
  </si>
  <si>
    <t>T-019</t>
  </si>
  <si>
    <t>Web UI v0 + server entry point</t>
  </si>
  <si>
    <t>Ingest (URL / discovery / path), repo list with sync/remove, analysis (branch or PR), report, unknowns, PR-comment markdown.</t>
  </si>
  <si>
    <t>PRD-9 (partial)</t>
  </si>
  <si>
    <t>tia/web/index.html, tia/server.py</t>
  </si>
  <si>
    <t>manual run + test_api_end_to_end_with_demo_landscape</t>
  </si>
  <si>
    <t>Dev mode: no auth, no tenancy; not the R2 UI</t>
  </si>
  <si>
    <t>T-020</t>
  </si>
  <si>
    <t>Graph</t>
  </si>
  <si>
    <t>Code / dependency graph explorer v0</t>
  </si>
  <si>
    <t>Services, endpoints+schemas, and function-level views from the persisted extracts; filter by repo, search, focus (neighbourhood), node limit with truncation notice; evidence-coloured edges; unresolved calls shown; node/edge detail panel with file:line evidence.</t>
  </si>
  <si>
    <t>PRD-9.2</t>
  </si>
  <si>
    <t>tia/graphview.py, tia/api.py (/api/v1/graph*), tia/web/index.html, tia/web/vendor/cytoscape (bundled, MIT)</t>
  </si>
  <si>
    <t>tests/test_graph.py (8) + headless Chrome run: all 3 levels, search, focus, details, 0 console errors</t>
  </si>
  <si>
    <t>Graph is rebuilt from cached extracts per request (not a persisted graph store yet)</t>
  </si>
  <si>
    <t>T-021</t>
  </si>
  <si>
    <t>Impact overlay on the graph</t>
  </si>
  <si>
    <t>Changed component -&gt; via -&gt; affected, edges by evidence status, nodes coloured by severity, one click from the report.</t>
  </si>
  <si>
    <t>PRD-9.2 FR-013</t>
  </si>
  <si>
    <t>tia/graphview.py (impact_overlay), /api/v1/impact-analyses/{id}/graph</t>
  </si>
  <si>
    <t>test_graph_api_and_impact_overlay + headless Chrome run</t>
  </si>
  <si>
    <t>T-022</t>
  </si>
  <si>
    <t>Platform</t>
  </si>
  <si>
    <t>Multi-tenant PostgreSQL storage: schema, SQL migrations, forced RLS, tenant-bound transactions</t>
  </si>
  <si>
    <t>tenants registry; tenant_id on every row; FORCE ROW LEVEL SECURITY; runtime role tia_app (not owner, no BYPASSRLS, no access to registry); set_config per transaction; connection pool; migration runner; SQLite removed.</t>
  </si>
  <si>
    <t>PL-003 AC-035 TFD-9</t>
  </si>
  <si>
    <t>tia/db.py, tia/store.py, tia/migrations/0001_init.sql, tia/migrate.py</t>
  </si>
  <si>
    <t>tests/test_storage.py (isolation, no-tenant, unfiltered delete, privileges, forced RLS) on real PostgreSQL 16.2; whole suite (69) now runs on PostgreSQL</t>
  </si>
  <si>
    <t>Embedded PostgreSQL 16.2 only; a managed PG / PgBouncer deployment is untested (set_config is transaction-local so transaction pooling is safe by design). Tenant is fixed per process until SSO (UC1-18/19).</t>
  </si>
  <si>
    <t>T-023</t>
  </si>
  <si>
    <t>Security</t>
  </si>
  <si>
    <t>Tamper-evident, append-only, keyed (HMAC) audit chain per tenant</t>
  </si>
  <si>
    <t>Advisory-locked sequential chain; runtime role has INSERT/SELECT only; HMAC key kept outside the DB so an owner cannot recompute the chain; verify endpoint; repository register/sync/PR-fetch/remove audited (no tokens).</t>
  </si>
  <si>
    <t>11.3</t>
  </si>
  <si>
    <t>tia/store.py (audit, verify_audit), /api/v1/audit, /api/v1/audit/verify</t>
  </si>
  <si>
    <t>tests: tamper, delete, reorder, append-only, 48 concurrent writes, keyed-vs-unkeyed owner rewrite, no secrets in audit</t>
  </si>
  <si>
    <t>Audit of GitHub/ADO comment posting and logins is added with those items</t>
  </si>
  <si>
    <t>T-024</t>
  </si>
  <si>
    <t>Job queue + worker: idempotent, newest-wins, fair across tenants, exact per-tenant cap, retries with backoff, leases</t>
  </si>
  <si>
    <t>jobs table under RLS; tia_worker role is the only one that sees all tenants' jobs; enqueue/claim/heartbeat/succeed/fail/reap; worker loop with PermanentError; shared resolve/execute service used by sync API and worker; ?async=true API, job status and cancel endpoints; tokens refused in queued work.</t>
  </si>
  <si>
    <t>PL-017 AC-040 TFD-8 TFD-12</t>
  </si>
  <si>
    <t>tia/jobs.py, tia/worker.py, tia/analysis_service.py, tia/migrations/0002_jobs.sql, /api/v1/jobs</t>
  </si>
  <si>
    <t>tests/test_jobs.py (20): idempotency, supersede, cancel, force, role isolation, fairness, cap (also under 12 concurrent claims), retry/backoff/permanent, lease recovery + stale worker, 6 workers x 30 jobs exactly once, API-&gt;queue-&gt;worker end to end; repeated 4x stable; live run on the dev server</t>
  </si>
  <si>
    <t>Real PostgreSQL 16.2. Workers share the repo filesystem path with the API (shared volume / object store is a deployment item under UC1-23). Fairness is round-robin by queued position, not weighted by plan.</t>
  </si>
  <si>
    <t>T-025</t>
  </si>
  <si>
    <t>Persisted versioned graph + per-file incremental extraction + full-rescan path</t>
  </si>
  <si>
    <t>Per-file facts cached by git blob id; content-addressed immutable graph versions with a head per landscape; head advances on register/sync/delete/webhook; POST /graph/rescan re-derives everything, detects drift against the incremental result and repairs it.</t>
  </si>
  <si>
    <t>FR-003 AC-021</t>
  </si>
  <si>
    <t>tia/extraction.py, tia/graphstore.py, tia/migrations/0003-0004, /api/v1/graph/versions, /api/v1/graph/rescan</t>
  </si>
  <si>
    <t>tests/test_incremental.py (7), tests/test_graph_versions.py (9): incremental result and graph equal a full rescan; a one-file push adds exactly one cached file fact end to end; tenant isolation; rescan detects and repairs a corrupted cache</t>
  </si>
  <si>
    <t>Python adapter only (Java is UC1-07). Real PostgreSQL 16.2 + real git.</t>
  </si>
  <si>
    <t>T-026</t>
  </si>
  <si>
    <t>Stale-relationship handling + repository freshness (scan state)</t>
  </si>
  <si>
    <t>Cross-repo relationship history (current | stale: scan_failed, parse_failed, evidence_removed); repos track scan status, last successful scan and analysed revision; reports carry per-repo freshness, a repository_freshness unknown, status partial on a failed scan, and stale-evidence findings capped at Medium; graph view draws stale edges as stale.</t>
  </si>
  <si>
    <t>FR-005 FR-010 AC-011 AC-022</t>
  </si>
  <si>
    <t>tia/relationships.py, tia/repos.py (scan state), tia/impact.py, tia/migrations/0005, /api/v1/graph/relationships</t>
  </si>
  <si>
    <t>tests/test_stale.py (6): failed scan -&gt; stale finding + last good scan stated -&gt; recovery; removed call; unparseable consumer file; repository removal; redaction; no needless rewrites</t>
  </si>
  <si>
    <t>runtime_observed evidence (R6) still never produced. No interim 'pending re-scan' state between a push and the synchronous refresh.</t>
  </si>
  <si>
    <t>T-027</t>
  </si>
  <si>
    <t>Evidence snapshot materialisation + reproduction</t>
  </si>
  <si>
    <t>Immutable snapshot per analysis (revisions of every repo incl. target head, extractor/config versions, graph version, freshness and stale-relationship state); commits pinned in TIA clones; POST /impact-analyses/{id}/reproduce re-runs on the snapshot and reports identical or not; evidence view shows the path and revision of each hop of every material finding.</t>
  </si>
  <si>
    <t>AC-015</t>
  </si>
  <si>
    <t>tia/migrations/0006, tia/analysis_service.py (reproduce, pin_analysis), tia/report.py (evidence_view), /api/v1/evidence-snapshots, /impact-analyses/{id}/evidence|reproduce</t>
  </si>
  <si>
    <t>tests/test_snapshots.py (8): identical after the landscape moved on; stale state pinned; pins survive history rewrite and gc (and without pins TIA says the evidence is gone); immutable by privilege; tenant isolation; audience redaction</t>
  </si>
  <si>
    <t>Local repositories are read in place and cannot be pinned (a rewritten local history makes reproduction fail with a clear message).</t>
  </si>
  <si>
    <t>T-028</t>
  </si>
  <si>
    <t>Code upload from the user's drive: zip and whole folder, 2 GiB cap</t>
  </si>
  <si>
    <t>Session-based upload API (zip streamed as one body, folder in batches), safe extraction (traversal/absolute/drive/device names, ADS, symlinks, encrypted, case collisions rejected; caps enforced on bytes written), each upload a git commit so two uploads are analysed like a PR; UI tab with progress; one-call PUT for scripts.</t>
  </si>
  <si>
    <t>tia/upload.py, tia/api.py (/api/v1/uploads, /repositories/{name}/upload, /revisions), tia/web/index.html</t>
  </si>
  <si>
    <t>tests/test_upload.py (33); real Chrome (zip + folder + analyse vs previous upload, 0 console errors); live 721 MB zip streamed with 2 MB server memory growth; declared 3 GB refused with 413</t>
  </si>
  <si>
    <t>Per-upload cap only: no per-tenant total storage quota yet (UC1-20/21). Uploaded code is parsed, never executed. Uploads are snapshots (files absent from a re-upload are removed).</t>
  </si>
  <si>
    <t>T-029</t>
  </si>
  <si>
    <t>Java / Spring adapter (REST): routes, DTO schemas, RestTemplate/WebClient/RestClient/OpenFeign/shared clients, JUnit + MockMvc tests</t>
  </si>
  <si>
    <t>tree-sitter-java parser; Spring Web endpoints (class prefix, arrays, RequestMethod lists, controller interfaces), request/response schemas incl. wrappers, records, entities, inheritance and Jackson naming; base URLs from constants, @Value, environment, WebClient/RestTemplate builders; Feign and shared-client calls resolved at assembly (R2/R1); spring.application.name as default service identity; unsupported HTTP client libraries disclosed as an unknown; per-file incremental caching preserved.</t>
  </si>
  <si>
    <t>FR-004 FR-012 FR-017 AC-023</t>
  </si>
  <si>
    <t>tia/extract_java.py, tia/extract_python.py (assembly), tia/extraction.py</t>
  </si>
  <si>
    <t>tests/test_java.py (35): facts, cross-language Python&lt;-&gt;Java and Java&lt;-&gt;Java resolution, impact on real branches, parse failures, incremental == full rescan; run on real third-party code (spring-petclinic-microservices: 54 files, 0 parse failures, 16 endpoints, the 2 real service-to-service calls resolved source_confirmed)</t>
  </si>
  <si>
    <t>Spring MVC/WebFlux/OpenFeign only (no JAX-RS, Micronaut, Quarkus, Spring Cloud Gateway routes); OkHttp/Apache/java.net.http/Retrofit calls are reported as unknown, not analysed; @RequestMapping without a method is read as GET; dynamic base URLs stay unresolved; variable types are resolved per file by name; endpoint auth config (FR-017) not extracted; no accuracy measurement yet (UC1-25).</t>
  </si>
  <si>
    <t>T-030</t>
  </si>
  <si>
    <t>Python ORM + migration extraction: SQLAlchemy (declarative, Mapped, Flask-SQLAlchemy), SQLModel, Django models; Alembic and Django migrations</t>
  </si>
  <si>
    <t>Entities -&gt; tables -&gt; columns (nullability, keys, FK and many-to-many link tables, inherited mixins and Django auth bases); model references inside functions classified read/write (objects.*, session.query/add/delete, select/insert/update/delete, save(), self/cls); Alembic upgrade() ops incl. batch_alter_table and op.execute SQL; Django CreateModel/AddField/RemoveField/AlterField/RenameField/DeleteModel/RenameModel/AlterModelTable/RunSQL; raw SQL, Table() objects, dynamic table names, RunPython and unknown bases reported as data access not analysed.</t>
  </si>
  <si>
    <t>FR-006 FR-006a</t>
  </si>
  <si>
    <t>tia/extract_orm.py, tia/extract_data.py, tia/extract_python.py</t>
  </si>
  <si>
    <t>tests/test_data.py (58 incl. Python models, references, Alembic, Django); run on real third-party code: django-realworld-example-app (5 models, 5 link tables) and fastapi full-stack template (SQLModel + 5-revision Alembic chain) - replayed migration schema equals the ORM columns exactly</t>
  </si>
  <si>
    <t>Django app label is taken from the directory (a custom AppConfig label would change table names); model references are resolved by simple name per repository and local variable types by assignment/annotation only; a model name used in two apps is reported ambiguous; Python is parsed with the server interpreter, so newer syntax (e.g. Python 3.14 'except A, B:') is a parse failure, reported as partial.</t>
  </si>
  <si>
    <t>T-031</t>
  </si>
  <si>
    <t>Java ORM + migration extraction: JPA entities, Spring Data repositories, Flyway SQL, Liquibase XML/YAML/JSON</t>
  </si>
  <si>
    <t>Entities (@Table/@Column/@JoinColumn/@JoinTable, Spring Boot naming strategy, @MappedSuperclass/@Embedded merge, @Transient), repository methods classified read/write by name and @Query/@Modifying/native queries (entities named by the query included), SQL DDL parser for PostgreSQL/MySQL/Oracle/SQL Server/HSQLDB statements, Liquibase createTable/addColumn/dropColumn/renameColumn/modifyDataType/not-null/dropTable/renameTable/sql; spring.datasource.url and tia-services.yaml database identity; EntityManager/JDBC/jOOQ/MyBatis, procedural SQL, stored procedure calls, custom naming strategy, @Inheritance and undeclared join tables reported as not analysed.</t>
  </si>
  <si>
    <t>FR-006a AC-023</t>
  </si>
  <si>
    <t>tia/extract_java.py, tia/extract_data.py</t>
  </si>
  <si>
    <t>tests/test_data.py; run on real third-party code: spring-petclinic (6 entities, 20 repository accesses, 3 schema scripts, 0 unparsed), jhipster-sample-app (593 files: 5 entities, 7 Liquibase changelogs, 75 accesses, EntityManager/JDBC reported) - replayed Liquibase schema equals the JPA columns exactly; real-code runs found and fixed HSQLDB 'DROP TABLE x IF EXISTS', the org.springframework package-name filter and Django to= keyword / self-referential M2M</t>
  </si>
  <si>
    <t>Spring Data repositories are resolved only when they extend a Spring Data interface directly; default join-table names are not derived (reported); Liquibase files are found by 'changelog'/'liquibase' in the path; Flyway undo scripts ignored; XML with a DOCTYPE is refused (entity-expansion safety); several database flavours of one schema script in one repository are replayed together; Kotlin entities not supported.</t>
  </si>
  <si>
    <t>T-032</t>
  </si>
  <si>
    <t>Data-impact traversal and findings (AC-024): schema change -&gt; mapped entities -&gt; reading/writing functions -&gt; endpoints -&gt; API consumers</t>
  </si>
  <si>
    <t>Data layer in the graph (entity, table, column, migration; MAPS_TO, MAPS_COLUMN, READS, WRITES, MIGRATES); tables belong to a database and services are linked only through a shared declared/URL-named database, never by table name; migration ops the head adds classified against the replayed schema (drop/rename table or column, type change vs provable widening, NOT NULL tightening, required new column = breaks writers only); findings per entity with accessors, own-repository rules (SEV-DATA-MAPPING-BROKEN / SEV-DATA-UPDATED), propagation through the existing call/endpoint/consumer traversal, unknowns for database identity, unanalysed data access, unparsed migration statements and unmapped changes; comment, redaction, graph view and impact overlay support the new node types.</t>
  </si>
  <si>
    <t>FR-015 AC-024</t>
  </si>
  <si>
    <t>tia/data.py, tia/impact.py, tia/severity.py, tia/report.py, tia/graphview.py, tia/web/index.html</t>
  </si>
  <si>
    <t>tests/test_data.py (58); live: dev server on real PostgreSQL, real HTTP, queue + worker for 8 branches across Flyway/Liquibase/Alembic/Django, reproduce identical, real Chrome (findings table, impact overlay column -&gt; 3 entities -&gt; functions -&gt; endpoints -&gt; portal call sites, column search, 0 console errors)</t>
  </si>
  <si>
    <t>Column-level precision only for columns an analysed entity maps; type/nullability compatibility is not evaluated beyond provable widening; services using a database without a declared identity are assumed private (stated as an unknown); views, stored procedures and raw SQL are FR-041 (not built); same-repository functions reading a changed table are reported as direct low findings.</t>
  </si>
  <si>
    <t>T-033</t>
  </si>
  <si>
    <t>Tenant lifecycle: provision, SCM installation mapping, suspend/resume, offboard with deletion certificate; per-tenant storage quota</t>
  </si>
  <si>
    <t>tenants admin class + CLI; suspended tenants get 403 tenant_suspended and their queued jobs are not claimed; offboarded 410; quota 403 storage_quota_exceeded; offboarding deletes every tenant table and returns a hashed certificate that verify_deletion re-checks.</t>
  </si>
  <si>
    <t>PL-013 AC-039</t>
  </si>
  <si>
    <t>tia/tenants.py, tia/gate.py, tia/migrations/0007_tenant_lifecycle.sql</t>
  </si>
  <si>
    <t>tests/test_tenants.py (21); live: admin CLI + API + worker processes on PostgreSQL</t>
  </si>
  <si>
    <t>No billing/metering; SCM installation mapping is stored but a real GitHub App installation event is not wired (UC1-04).</t>
  </si>
  <si>
    <t>T-034</t>
  </si>
  <si>
    <t>GitHub check run (always neutral) + POST publish endpoint for the PR comment; permalink in the comment</t>
  </si>
  <si>
    <t>check_run_payload (annotations &lt;=50), upsert_check_run, publish_to_github, audit_publication; ScmConfig.check_run/public_url.</t>
  </si>
  <si>
    <t>FR-035 AC-020</t>
  </si>
  <si>
    <t>tia/github.py, tia/publish.py, tia/api.py</t>
  </si>
  <si>
    <t>tests/test_publish.py (22) and tests/test_webhooks.py against a fake GitHub; comment upsert verified live on github.com earlier</t>
  </si>
  <si>
    <t>Check runs need a GitHub App token: simulated only, NOT verified against real GitHub.</t>
  </si>
  <si>
    <t>T-035</t>
  </si>
  <si>
    <t>Permalink report page per analysis</t>
  </si>
  <si>
    <t>Server-rendered no-JS page GET /analyses/{id}: escaped, stacked cards under 700px, CSP + nosniff.</t>
  </si>
  <si>
    <t>PRD-9</t>
  </si>
  <si>
    <t>tia/reportpage.py</t>
  </si>
  <si>
    <t>tests/test_reportpage.py (11) + real Chrome desktop and mobile widths</t>
  </si>
  <si>
    <t>T-036</t>
  </si>
  <si>
    <t>Secrets management and encryption: envelope encryption of tenant secrets, secret references, scrubbing, TLS enforcement</t>
  </si>
  <si>
    <t>KEK in a secrets manager (file/Vault Transit) -&gt; per-tenant versioned DEK -&gt; AES-256-GCM with tenant+name+version as AAD; refs file:/vault:/env:/NAME_FILE; scrub of token formats from graph, reports, logs, audit and job errors; refuses tokens over plaintext http, HSTS.</t>
  </si>
  <si>
    <t>PL-011</t>
  </si>
  <si>
    <t>tia/credentials.py, tia/secretstore.py, tia/scrub.py, tia/transport.py</t>
  </si>
  <si>
    <t>tests/test_credentials.py (32), tests/test_secretstore.py (49); Vault only against a FAKE (KV v2 + Transit)</t>
  </si>
  <si>
    <t>NOT verified: real Vault, AWS KMS/Azure Key Vault wrappers (not built), customer-managed keys, PostgreSQL TLS handshake (embedded PG has no TLS).</t>
  </si>
  <si>
    <t>T-037</t>
  </si>
  <si>
    <t>Platform observability: Prometheus metrics, JSON logs, W3C traces to OTLP, health/readiness</t>
  </si>
  <si>
    <t>Dependency-free metrics registry, request-id logs, traceparent through the queue into the worker, OTLP/HTTP JSON exporter, /healthz /readyz /metrics (token-protected), worker heartbeats and worker metrics port.</t>
  </si>
  <si>
    <t>PL-007</t>
  </si>
  <si>
    <t>tia/metrics.py, tia/obs.py, tia/tracing.py, tia/health.py, tia/telemetry.py</t>
  </si>
  <si>
    <t>tests/test_observability.py (57); live API+worker processes; OTLP only against a fake collector</t>
  </si>
  <si>
    <t>NOT verified against a real Prometheus/OTel collector; no dashboards/alert rules shipped.</t>
  </si>
  <si>
    <t>T-038</t>
  </si>
  <si>
    <t>Configuration management: versioned per-tenant limits, severity overrides, criticality, gateway prefixes, comment audience</t>
  </si>
  <si>
    <t>Strict validation (all problems at once), immutable insert-only versions, diff/restore, limits are defaults and ceilings, overrides recorded not silent, reproduce uses the snapshot's config; API + admin CLI + UI panel.</t>
  </si>
  <si>
    <t>tia/tenantconfig.py, tia/severity.py, tia/migrations/0010_tenant_config.sql</t>
  </si>
  <si>
    <t>tests/test_tenantconfig.py (65); live CLI -&gt; API -&gt; worker processes; real Chrome panel</t>
  </si>
  <si>
    <t>Only critical criticality changes severity; no approval workflow/RBAC (needs SSO UC1-18/19).</t>
  </si>
  <si>
    <t>T-039</t>
  </si>
  <si>
    <t>SSO: OIDC (authorization code + PKCE, bearer tokens) and SAML 2.0 (SP-initiated); service-account tokens; browser sessions</t>
  </si>
  <si>
    <t>Per-tenant identity providers; JWT verification limited to asymmetric algorithms with the key chosen by kid; provider fetches only to public https addresses; single-use sign-in state bound to the browser; SAML needs a signed assertion by a configured certificate (rotation supported), refuses XXE, signature wrapping, replay, unsolicited responses; service tokens carry roles and a repository scope, expire and are revocable, only their hash is stored; the credential names the tenant, so one deployment serves many tenants.</t>
  </si>
  <si>
    <t>PL-001 AC-025</t>
  </si>
  <si>
    <t>tia/jwtverify.py, tia/netsafe.py, tia/identity.py, tia/oidc.py, tia/saml.py, tia/authapi.py, tia/migrations/0011_identity.sql</t>
  </si>
  <si>
    <t>tests/test_auth.py, tests/test_auth_api.py, tests/test_saml.py; live: admin CLI + API process + real Chrome through a real OIDC flow (4 people, sign-out, role change, CSRF, token shown once)</t>
  </si>
  <si>
    <t>Tested only against our own OIDC and SAML provider implementations: no real Entra/Okta/Keycloak/ADFS, so interoperability quirks (group-overage claim, signed AuthnRequests, encrypted assertions, single logout) are unverified; SHA-1 refusal in SAML not exercised; rate limiting left to a reverse proxy.</t>
  </si>
  <si>
    <t>T-040</t>
  </si>
  <si>
    <t>RBAC (5 roles) and per-repository access mirrored from GitHub; PR comment names another repository only if all readers may read it</t>
  </si>
  <si>
    <t>Deny-by-default route table (a test fails on an unclassified route); roles additive, from identity-provider groups or administrator assignment; repository modes scm/restricted/tenant; mirror of GitHub collaborators (fail closed when missing, stale or failed); unreadable repositories are 404 everywhere and reports are redacted per reader with a count of what was omitted; administrators are not exempt; actor recorded on every audited action.</t>
  </si>
  <si>
    <t>PL-002 AC-016 AC-025</t>
  </si>
  <si>
    <t>tia/rbac.py, tia/access.py, tia/authapi.py, tia/api.py, tia/migrations/0012_repo_access.sql</t>
  </si>
  <si>
    <t>tests/test_access.py (34) against a fake GitHub REST API; live in real Chrome: four people see different repositories and differently redacted reports for the same analysis</t>
  </si>
  <si>
    <t>Mirror tested against a FAKE GitHub API only; Azure DevOps permission mirroring not built (UC1-06/15); the webhook receiver still uses the deployment's default tenant.</t>
  </si>
  <si>
    <t>T-041</t>
  </si>
  <si>
    <t>GitHub App connector: App JWT, installation tokens, tenant routing by installation, repository discovery, permission-failure reporting</t>
  </si>
  <si>
    <t>RS256 App JWT (9 min) -&gt; installation token (cached, refreshed 5 min early) used for clone/fetch, comments and REAL check runs; a webhook is routed to the tenant that owns its installation (SECURITY DEFINER lookup of active tenants only); an installation is linked by the operator (CLI) or by a tenant administrator who proves through GitHub user authorisation that they can see it; repositories of the organisation's installations can be discovered and ingested; a removed/suspended installation or a repository the App cannot see is reported as such and fails the job permanently; tokens and the key never reach logs, audit or the database.</t>
  </si>
  <si>
    <t>FR-001 AC-026</t>
  </si>
  <si>
    <t>tia/githubapp.py, tia/api.py, tia/analysis_service.py, tia/migrations/0013_github_app.sql</t>
  </si>
  <si>
    <t>tests/test_githubapp.py (51) against a GitHub platform stand-in that verifies the App JWT with the real public key and accepts check runs only from installation tokens; live: admin CLI + API process + worker process (signed webhook -&gt; job in the owning tenant -&gt; comment + check run, nothing in the other tenant, no token or key in logs)</t>
  </si>
  <si>
    <t>NOT verified against real GitHub: no real App registered, so GitHub's actual permission model (e.g. what listing collaborators needs), rate limits and the user-authorisation redirect are untested; installation_repositories events are acknowledged only; Azure DevOps equivalent is UC1-06/15.</t>
  </si>
  <si>
    <t>T-042</t>
  </si>
  <si>
    <t>Quality</t>
  </si>
  <si>
    <t>CI pipeline for TIA: tests on Python 3.10-3.12, package check, migration and tenant-table gates, secret scan, dependency audit</t>
  </si>
  <si>
    <t>GitHub Actions workflow (least-privilege, no secrets, no pull_request_target, timeouts) plus tools/ci.py that runs the same gates locally; each gate is itself tested to fail on what it exists to catch.</t>
  </si>
  <si>
    <t>.github/workflows/tia-ci.yml, tools/ci.py</t>
  </si>
  <si>
    <t>tests/test_ci.py (15); tools/ci.py workflow/migrations/secrets/package run locally and pass; the real workflow file parsed and checked</t>
  </si>
  <si>
    <t>The workflow has NOT run on GitHub Actions (nothing is pushed: origin is not the user's repository); actions are pinned by tag, not by commit SHA; pip-audit runs only in CI; no lint/type-check stage yet.</t>
  </si>
  <si>
    <t>T-043</t>
  </si>
  <si>
    <t>Accuracy harness and reference landscapes (PRD 15.3): two independent Java references on real third-party code plus a synthetic Python landscape</t>
  </si>
  <si>
    <t>tools/accuracy.py measures recall, precision, findings per PR, resolution rate, traceable evidence, silent pass and source_confirmed-without-evidence against curated truth (dependencies with proof lines, endpoints, must-not-link calls, patched changes), segmented by language, relationship, difficulty, strategy and evidence; first contact found and fixed three real gaps (local-variable URLs, service-discovery hosts, files that stop parsing reported as removed declarations).</t>
  </si>
  <si>
    <t>PRD-15 15.3</t>
  </si>
  <si>
    <t>tools/accuracy.py, reference/, tia/extract_java.py, tia/impact.py</t>
  </si>
  <si>
    <t>tests/test_accuracy.py (14); spring-petclinic-microservices recall 6/6, precision 8/8, resolution 6/6; piggymetrics recall 3/3, precision 6/6, resolution 3/4; synthetic 4/4 and 15/15; every measured PRD 15.3 target met on all three</t>
  </si>
  <si>
    <t>Small samples; only two independent references and both are Java (no independent Python multi-service reference found); piggymetrics is found only with paths.strip_prefixes configured by hand (0/3 without it: TIA does not read context paths from config); the -30% assessment-time target needs a user study (NOT MEASURED); customer landscapes must be measured at onboarding.</t>
  </si>
  <si>
    <t>T-044</t>
  </si>
  <si>
    <t>Performance benchmark at 500 repositories (PRD 12): scan, incremental PR analysis, interactive report, 50-job burst, determinism</t>
  </si>
  <si>
    <t>tools/benchmark.py generates a Python+Java landscape of real git repositories and measures through production code and a real PostgreSQL. The first full run found 44 s per PR analysis (one git process per repository, repeated); fixed by reading refs from files, caching, parallel resolution and one query per analysis.</t>
  </si>
  <si>
    <t>PRD-12</t>
  </si>
  <si>
    <t>tools/benchmark.py, tia/gitutil.py, tia/impact.py, tia/analysis_service.py, docs/PERFORMANCE.md</t>
  </si>
  <si>
    <t>500 repositories / 605 101 lines: PR analysis P95 5.3 s (target 120 s); report P95 0.07 s (5 s); burst of 50 jobs on 8 workers all completed, P95 163 s (180 s); scan 260 s; re-analysis identical</t>
  </si>
  <si>
    <t>Generated landscape, not 20 M lines of real code (the 4 h scan target is not demonstrated at that size); burst margin is thin (163 s of 180 s) on one machine with the database local; availability/RPO/RTO not measured.</t>
  </si>
  <si>
    <t>T-045</t>
  </si>
  <si>
    <t>Security review and threat model (PRD 19 gate)</t>
  </si>
  <si>
    <t>docs/SECURITY.md: assets, trust boundaries, 19 threats with mitigations and tests; an independent read-only code review found 2 high and 8 medium issues; all high and all but one medium fixed with regression tests (tests/test_security_review.py).</t>
  </si>
  <si>
    <t>PRD-19</t>
  </si>
  <si>
    <t>docs/SECURITY.md, tests/test_security_review.py</t>
  </si>
  <si>
    <t>Independent AI code review of the auth, tenant-routing, access, GitHub App and SQL code; 29 regression tests; no critical/high open</t>
  </si>
  <si>
    <t>NOT an external penetration test; M7 (first-come claim of a public issuer/audience pair) is open and only mitigated; upload extraction, worker handlers, git argument handling, offboarding crypto and report-page XSS were not independently reviewed.</t>
  </si>
  <si>
    <t>T-046</t>
  </si>
  <si>
    <t>Docs</t>
  </si>
  <si>
    <t>Administrator guide, user guide and API reference that cannot drift from the code</t>
  </si>
  <si>
    <t>docs/ADMIN-GUIDE.md, docs/USER-GUIDE.md and docs/API.md (generated from the route table and OpenAPI schema); tests check every environment variable, command, endpoint, link and configuration example against the code and the real validators.</t>
  </si>
  <si>
    <t>docs/, tools/gen_docs.py, tests/test_docs.py</t>
  </si>
  <si>
    <t>tests/test_docs.py (11)</t>
  </si>
  <si>
    <t>Written from the code and tests, not from field experience; no screenshots; API descriptions are only as good as the handler docstrings.</t>
  </si>
  <si>
    <t>T-047</t>
  </si>
  <si>
    <t>GitHub comment upsert (code)</t>
  </si>
  <si>
    <t>Not yet verified against live GitHub.</t>
  </si>
  <si>
    <t>FR-035</t>
  </si>
  <si>
    <t>tia/github.py</t>
  </si>
  <si>
    <t>marker helper test only</t>
  </si>
  <si>
    <t>T-048</t>
  </si>
  <si>
    <t>SQLite evidence cache, analysis store, JSONL audit</t>
  </si>
  <si>
    <t>Interim store; replaced by PostgreSQL in R1.</t>
  </si>
  <si>
    <t>tia/store.py</t>
  </si>
  <si>
    <t>test_audit_and_cache</t>
  </si>
  <si>
    <t>T-049</t>
  </si>
  <si>
    <t>Demo landscape fixture + 29 tests</t>
  </si>
  <si>
    <t>6 git repos; AC-mapped tests.</t>
  </si>
  <si>
    <t>PRD-14</t>
  </si>
  <si>
    <t>fixtures/, tests/</t>
  </si>
  <si>
    <t>29 passed</t>
  </si>
  <si>
    <t>T-050</t>
  </si>
  <si>
    <t>Separate production code from support code</t>
  </si>
  <si>
    <t>tia/ = production only; tools/demo.py.</t>
  </si>
  <si>
    <t>tia/, tools/</t>
  </si>
  <si>
    <t>T-051</t>
  </si>
  <si>
    <t>PR comment + live verification via GitHub App</t>
  </si>
  <si>
    <t>Update in place on push; never blocks merge.</t>
  </si>
  <si>
    <t>Not Started</t>
  </si>
  <si>
    <t>S</t>
  </si>
  <si>
    <t>GitHub App</t>
  </si>
  <si>
    <t>T-052</t>
  </si>
  <si>
    <t>Delivery</t>
  </si>
  <si>
    <t>Container images, Docker Compose, Helm chart</t>
  </si>
  <si>
    <t>Images for SaaS and dedicated; documented data locations.</t>
  </si>
  <si>
    <t>PL-009</t>
  </si>
  <si>
    <t>PostgreSQL, queue</t>
  </si>
  <si>
    <t>T-053</t>
  </si>
  <si>
    <t>SaaS production environment (first region)</t>
  </si>
  <si>
    <t>Infrastructure as code, gateway with tenant resolution and rate limits, managed PostgreSQL, evidence store, secrets, monitoring.</t>
  </si>
  <si>
    <t>PL-009 PL-007</t>
  </si>
  <si>
    <t>L</t>
  </si>
  <si>
    <t>Containers</t>
  </si>
  <si>
    <t>T-054</t>
  </si>
  <si>
    <t>R1 release quality gate</t>
  </si>
  <si>
    <t>All R1 ACs, accuracy, performance, security, operability, docs.</t>
  </si>
  <si>
    <t>All R1 tasks</t>
  </si>
  <si>
    <t>T-055</t>
  </si>
  <si>
    <t>Verification</t>
  </si>
  <si>
    <t>CI test-result ingestion</t>
  </si>
  <si>
    <t>Test identity, result, run, commit/build.</t>
  </si>
  <si>
    <t>FR-022 AC-027</t>
  </si>
  <si>
    <t>P1</t>
  </si>
  <si>
    <t>T-056</t>
  </si>
  <si>
    <t>Coverage enrichment</t>
  </si>
  <si>
    <t>Exists / associated / passed / executed / validated.</t>
  </si>
  <si>
    <t>FR-023 AC-027</t>
  </si>
  <si>
    <t>CI results</t>
  </si>
  <si>
    <t>T-057</t>
  </si>
  <si>
    <t>Regression recommendations + missing-test evidence</t>
  </si>
  <si>
    <t>Explain relevance; never 'safe to skip'.</t>
  </si>
  <si>
    <t>FR-024 FR-025</t>
  </si>
  <si>
    <t>T-058</t>
  </si>
  <si>
    <t>Contracts</t>
  </si>
  <si>
    <t>Full API contract comparison + OpenAPI ingestion</t>
  </si>
  <si>
    <t>Enum narrowing, shapes, auth config, configurable compatibility rules.</t>
  </si>
  <si>
    <t>T-059</t>
  </si>
  <si>
    <t>Event and message contracts (JSON Schema, Avro, Kafka)</t>
  </si>
  <si>
    <t>Producers/consumers, schema diff.</t>
  </si>
  <si>
    <t>FR-007 FR-019 FR-020 AC-028</t>
  </si>
  <si>
    <t>T-060</t>
  </si>
  <si>
    <t>Runtime</t>
  </si>
  <si>
    <t>Telemetry ingestion and R6 runtime edges</t>
  </si>
  <si>
    <t>OpenTelemetry extracts; window + environment.</t>
  </si>
  <si>
    <t>FR-026 FR-027 FR-014 AC-007 AC-008</t>
  </si>
  <si>
    <t>T-061</t>
  </si>
  <si>
    <t>Deployment correlation and environment views</t>
  </si>
  <si>
    <t>Proposed vs deployed revision per environment.</t>
  </si>
  <si>
    <t>FR-028 FR-029 AC-029</t>
  </si>
  <si>
    <t>T-062</t>
  </si>
  <si>
    <t>Governance</t>
  </si>
  <si>
    <t>Ownership and criticality registry connector</t>
  </si>
  <si>
    <t>Backstage/catalog or admin-managed.</t>
  </si>
  <si>
    <t>FR-033</t>
  </si>
  <si>
    <t>T-063</t>
  </si>
  <si>
    <t>Release-policy engine</t>
  </si>
  <si>
    <t>pass/fail/not_evaluated/requires_review; versioned policies.</t>
  </si>
  <si>
    <t>FR-033 FR-034 AC-013 AC-014</t>
  </si>
  <si>
    <t>T-064</t>
  </si>
  <si>
    <t>Advisory and enforcement modes</t>
  </si>
  <si>
    <t>Report to repository protection; customer-configured.</t>
  </si>
  <si>
    <t>FR-036 AC-030</t>
  </si>
  <si>
    <t>Policy engine</t>
  </si>
  <si>
    <t>T-065</t>
  </si>
  <si>
    <t>Integration</t>
  </si>
  <si>
    <t>GitHub check run</t>
  </si>
  <si>
    <t>Policy outcomes in a check run.</t>
  </si>
  <si>
    <t>T-066</t>
  </si>
  <si>
    <t>ITSM change-record integration (ServiceNow)</t>
  </si>
  <si>
    <t>Write-only attachment keyed by change id.</t>
  </si>
  <si>
    <t>FR-038 AC-031</t>
  </si>
  <si>
    <t>T-067</t>
  </si>
  <si>
    <t>MCP server and read API for assistants</t>
  </si>
  <si>
    <t>Read-only report retrieval.</t>
  </si>
  <si>
    <t>FR-037 AC-032</t>
  </si>
  <si>
    <t>T-068</t>
  </si>
  <si>
    <t>UI</t>
  </si>
  <si>
    <t>Web UI: report, path explorer, filters, unknowns panel</t>
  </si>
  <si>
    <t>React; API-first. Extend the v0 graph: filters by severity/evidence/environment, saved views, path highlighting, accessible table alternative, scale to large landscapes (server-side clustering).</t>
  </si>
  <si>
    <t>PRD-9 PRD-9.2</t>
  </si>
  <si>
    <t>XL</t>
  </si>
  <si>
    <t>T-069</t>
  </si>
  <si>
    <t>Administration console</t>
  </si>
  <si>
    <t>Connectors, service map, policies, rules, retention.</t>
  </si>
  <si>
    <t>PL-006</t>
  </si>
  <si>
    <t>Web UI</t>
  </si>
  <si>
    <t>T-070</t>
  </si>
  <si>
    <t>Accessibility WCAG 2.1 AA</t>
  </si>
  <si>
    <t>Audit + fixes.</t>
  </si>
  <si>
    <t>PL-012</t>
  </si>
  <si>
    <t>T-071</t>
  </si>
  <si>
    <t>SaaS</t>
  </si>
  <si>
    <t>Usage metering and plan limits</t>
  </si>
  <si>
    <t>Per-tenant repositories/analyses/users; billing export.</t>
  </si>
  <si>
    <t>PL-014</t>
  </si>
  <si>
    <t>T-072</t>
  </si>
  <si>
    <t>Data residency (additional regions)</t>
  </si>
  <si>
    <t>Tenant pinned to region; no cross-region writes.</t>
  </si>
  <si>
    <t>PL-015 AC-041</t>
  </si>
  <si>
    <t>T-073</t>
  </si>
  <si>
    <t>Per-tenant keys and BYOK</t>
  </si>
  <si>
    <t>Envelope encryption per tenant; customer-managed KMS keys.</t>
  </si>
  <si>
    <t>PL-016</t>
  </si>
  <si>
    <t>T-074</t>
  </si>
  <si>
    <t>Dedicated SaaS deployment model</t>
  </si>
  <si>
    <t>Single-tenant vendor-hosted stack from the same code.</t>
  </si>
  <si>
    <t>PL-003</t>
  </si>
  <si>
    <t>T-075</t>
  </si>
  <si>
    <t>Graph-store benchmark and decision</t>
  </si>
  <si>
    <t>PostgreSQL vs dedicated graph store at scale.</t>
  </si>
  <si>
    <t>12</t>
  </si>
  <si>
    <t>T-076</t>
  </si>
  <si>
    <t>R2 security review, docs, quality gate</t>
  </si>
  <si>
    <t>Per PRD 13/19.</t>
  </si>
  <si>
    <t>T-077</t>
  </si>
  <si>
    <t>History</t>
  </si>
  <si>
    <t>Temporal relationships and release comparisons</t>
  </si>
  <si>
    <t>Introduced/removed/modified between releases.</t>
  </si>
  <si>
    <t>FR-011 FR-030 AC-033</t>
  </si>
  <si>
    <t>T-078</t>
  </si>
  <si>
    <t>Operations</t>
  </si>
  <si>
    <t>Incident and rollback association</t>
  </si>
  <si>
    <t>Association types; never auto root cause.</t>
  </si>
  <si>
    <t>FR-031 AC-034</t>
  </si>
  <si>
    <t>T-079</t>
  </si>
  <si>
    <t>Historical incident investigation</t>
  </si>
  <si>
    <t>Changes/components relevant to an incident.</t>
  </si>
  <si>
    <t>FR-032 AC-034</t>
  </si>
  <si>
    <t>T-080</t>
  </si>
  <si>
    <t>Retention enforcement and audit reporting</t>
  </si>
  <si>
    <t>Per data class.</t>
  </si>
  <si>
    <t>11.4</t>
  </si>
  <si>
    <t>T-081</t>
  </si>
  <si>
    <t>High availability and horizontal scale</t>
  </si>
  <si>
    <t>Independent API/worker scaling; no SPOF.</t>
  </si>
  <si>
    <t>PL-004</t>
  </si>
  <si>
    <t>T-082</t>
  </si>
  <si>
    <t>Backup, restore, disaster recovery</t>
  </si>
  <si>
    <t>Documented RPO/RTO, tested.</t>
  </si>
  <si>
    <t>PL-005</t>
  </si>
  <si>
    <t>T-083</t>
  </si>
  <si>
    <t>Customer-hosted and air-gapped installation</t>
  </si>
  <si>
    <t>Same code in customer boundary; no outbound network required.</t>
  </si>
  <si>
    <t>PL-010</t>
  </si>
  <si>
    <t>T-084</t>
  </si>
  <si>
    <t>SOC 2 Type II / ISO 27001 control set</t>
  </si>
  <si>
    <t>Policies, evidence collection, pen test, incident runbooks.</t>
  </si>
  <si>
    <t>PL-018</t>
  </si>
  <si>
    <t>T-085</t>
  </si>
  <si>
    <t>Public versioned API, OpenAPI spec, client SDK</t>
  </si>
  <si>
    <t>Stable external contract.</t>
  </si>
  <si>
    <t>T-086</t>
  </si>
  <si>
    <t>R3 security review, docs, quality gate</t>
  </si>
  <si>
    <t>T-087</t>
  </si>
  <si>
    <t>GitLab connector</t>
  </si>
  <si>
    <t>MR analysis, comment, status, permissions.</t>
  </si>
  <si>
    <t>FR-039 AC-036</t>
  </si>
  <si>
    <t>P2</t>
  </si>
  <si>
    <t>T-088</t>
  </si>
  <si>
    <t>Bitbucket connector</t>
  </si>
  <si>
    <t>Data Center + Cloud.</t>
  </si>
  <si>
    <t>FR-039</t>
  </si>
  <si>
    <t>T-089</t>
  </si>
  <si>
    <t>Azure DevOps Repos connector</t>
  </si>
  <si>
    <t>PR analysis, comment, status.</t>
  </si>
  <si>
    <t>T-090</t>
  </si>
  <si>
    <t>Adapter SDK</t>
  </si>
  <si>
    <t>Documented interface for new languages.</t>
  </si>
  <si>
    <t>FR-040</t>
  </si>
  <si>
    <t>T-091</t>
  </si>
  <si>
    <t>C#/.NET adapter</t>
  </si>
  <si>
    <t>ASP.NET Core, HttpClient, EF.</t>
  </si>
  <si>
    <t>T-092</t>
  </si>
  <si>
    <t>TypeScript/JavaScript adapter</t>
  </si>
  <si>
    <t>Express/NestJS, fetch/axios.</t>
  </si>
  <si>
    <t>T-093</t>
  </si>
  <si>
    <t>Go adapter</t>
  </si>
  <si>
    <t>net/http, chi/gin.</t>
  </si>
  <si>
    <t>T-094</t>
  </si>
  <si>
    <t>Kotlin adapter</t>
  </si>
  <si>
    <t>Spring Kotlin.</t>
  </si>
  <si>
    <t>Java adapter</t>
  </si>
  <si>
    <t>T-095</t>
  </si>
  <si>
    <t>SQL and stored-procedure lineage</t>
  </si>
  <si>
    <t>PostgreSQL, Oracle, SQL Server, DB2 dialects.</t>
  </si>
  <si>
    <t>FR-041 AC-037</t>
  </si>
  <si>
    <t>T-096</t>
  </si>
  <si>
    <t>Event-stream lineage</t>
  </si>
  <si>
    <t>Multi-hop topics, stream jobs.</t>
  </si>
  <si>
    <t>FR-042</t>
  </si>
  <si>
    <t>T-097</t>
  </si>
  <si>
    <t>Analytics</t>
  </si>
  <si>
    <t>Change-risk trends</t>
  </si>
  <si>
    <t>Descriptive only, no probabilities.</t>
  </si>
  <si>
    <t>FR-043</t>
  </si>
  <si>
    <t>T-098</t>
  </si>
  <si>
    <t>Calibration from validated outcomes</t>
  </si>
  <si>
    <t>Reviewer verdicts, per-rule precision.</t>
  </si>
  <si>
    <t>FR-044 AC-038</t>
  </si>
  <si>
    <t>T-099</t>
  </si>
  <si>
    <t>Multi-team change coordination</t>
  </si>
  <si>
    <t>Notify owners; track acknowledgement.</t>
  </si>
  <si>
    <t>FR-045</t>
  </si>
  <si>
    <t>T-100</t>
  </si>
  <si>
    <t>R4 security review, docs, GA quality gate</t>
  </si>
  <si>
    <t>Next tasks to complete (ordered)</t>
  </si>
  <si>
    <t>Driven by 'Next order' on Task Tracker (1 = do first). Renumber there and this list updates.</t>
  </si>
  <si>
    <t>Order</t>
  </si>
  <si>
    <t>Effort</t>
  </si>
  <si>
    <t>Req ID</t>
  </si>
  <si>
    <t>Requirement</t>
  </si>
  <si>
    <t>Gap / notes</t>
  </si>
  <si>
    <t>Tasks (IDs)</t>
  </si>
  <si>
    <t>Repository connection</t>
  </si>
  <si>
    <t>R1</t>
  </si>
  <si>
    <t>GitHub (App and PAT), Azure DevOps (PAT), git URL, local and upload ingestion done; GitHub App verified against a stand-in only; Azure DevOps webhooks/App-equivalent not built</t>
  </si>
  <si>
    <t>T-017, T-018, T-028, T-041</t>
  </si>
  <si>
    <t>Revision-aware analysis</t>
  </si>
  <si>
    <t>FR-003</t>
  </si>
  <si>
    <t>Incremental analysis</t>
  </si>
  <si>
    <t>Per-file incremental extraction + persisted versioned graph + full-rescan path with drift repair (Python)</t>
  </si>
  <si>
    <t>FR-004</t>
  </si>
  <si>
    <t>Supported languages (Java + Python)</t>
  </si>
  <si>
    <t>Java (Spring REST, JPA, Flyway/Liquibase) and Python (FastAPI/Flask, SQLAlchemy/Django ORM, Alembic/Django migrations) done; Django REST routes not extracted</t>
  </si>
  <si>
    <t>T-009, T-029</t>
  </si>
  <si>
    <t>FR-005</t>
  </si>
  <si>
    <t>Repository freshness</t>
  </si>
  <si>
    <t>Scan status, last successful scan, analysed revision, extractor version (snapshot), failures, stale relationships, inaccessible repos</t>
  </si>
  <si>
    <t>FR-006</t>
  </si>
  <si>
    <t>Core graph entities</t>
  </si>
  <si>
    <t>Service, endpoint, schema, function, call site, test, entity, table, column, migration done; deployment/build/event entities not built</t>
  </si>
  <si>
    <t>FR-006a</t>
  </si>
  <si>
    <t>Data-access scope (ORM/migrations)</t>
  </si>
  <si>
    <t>ORM mappings and migrations extracted; raw SQL/stored procedures (FR-041, R4) reported as data access not fully analysed</t>
  </si>
  <si>
    <t>T-030, T-031</t>
  </si>
  <si>
    <t>FR-007</t>
  </si>
  <si>
    <t>Execution and operations entities</t>
  </si>
  <si>
    <t>R2</t>
  </si>
  <si>
    <t>FR-008</t>
  </si>
  <si>
    <t>Explicit relationship types</t>
  </si>
  <si>
    <t>FR-009</t>
  </si>
  <si>
    <t>Relationship provenance</t>
  </si>
  <si>
    <t>No last-seen/validity yet (needs persisted graph)</t>
  </si>
  <si>
    <t>FR-010</t>
  </si>
  <si>
    <t>Evidence classifications</t>
  </si>
  <si>
    <t>stale now produced; runtime_observed (R6) never produced yet</t>
  </si>
  <si>
    <t>T-007, T-026</t>
  </si>
  <si>
    <t>FR-011</t>
  </si>
  <si>
    <t>Temporal relationships</t>
  </si>
  <si>
    <t>R3</t>
  </si>
  <si>
    <t>FR-012</t>
  </si>
  <si>
    <t>Changed-symbol identification</t>
  </si>
  <si>
    <t>Python</t>
  </si>
  <si>
    <t>FR-013</t>
  </si>
  <si>
    <t>Dependency traversal</t>
  </si>
  <si>
    <t>T-011, T-014, T-021</t>
  </si>
  <si>
    <t>Cross-repository resolution</t>
  </si>
  <si>
    <t>R1-R5 done; R6 runtime in R2</t>
  </si>
  <si>
    <t>T-010, T-060</t>
  </si>
  <si>
    <t>FR-015</t>
  </si>
  <si>
    <t>Impact scope categories</t>
  </si>
  <si>
    <t>Code, contract, test and data impact done; runtime/operational categories not built</t>
  </si>
  <si>
    <t>T-014, T-032</t>
  </si>
  <si>
    <t>FR-016</t>
  </si>
  <si>
    <t>Bounded traversal</t>
  </si>
  <si>
    <t>FR-017</t>
  </si>
  <si>
    <t>API discovery</t>
  </si>
  <si>
    <t>FastAPI/Flask and Spring Web; endpoint authentication configuration not extracted</t>
  </si>
  <si>
    <t>API contract comparison</t>
  </si>
  <si>
    <t>R1/R2</t>
  </si>
  <si>
    <t>Basic P0 list done; full comparison R2</t>
  </si>
  <si>
    <t>T-012, T-058</t>
  </si>
  <si>
    <t>FR-019</t>
  </si>
  <si>
    <t>Event and message contracts</t>
  </si>
  <si>
    <t>FR-020</t>
  </si>
  <si>
    <t>Consumer impact report</t>
  </si>
  <si>
    <t>REST done; events R2</t>
  </si>
  <si>
    <t>FR-021</t>
  </si>
  <si>
    <t>Static test association</t>
  </si>
  <si>
    <t>FR-022</t>
  </si>
  <si>
    <t>CI test results</t>
  </si>
  <si>
    <t>FR-023</t>
  </si>
  <si>
    <t>FR-024</t>
  </si>
  <si>
    <t>Regression recommendations</t>
  </si>
  <si>
    <t>FR-025</t>
  </si>
  <si>
    <t>Missing-test evidence</t>
  </si>
  <si>
    <t>Per-finding 'no relevant test evidence' limitation exists</t>
  </si>
  <si>
    <t>FR-026</t>
  </si>
  <si>
    <t>Runtime integration</t>
  </si>
  <si>
    <t>FR-027</t>
  </si>
  <si>
    <t>Runtime relationship classification</t>
  </si>
  <si>
    <t>FR-028</t>
  </si>
  <si>
    <t>Deployment correlation</t>
  </si>
  <si>
    <t>FR-029</t>
  </si>
  <si>
    <t>Environment-specific impact</t>
  </si>
  <si>
    <t>FR-030</t>
  </si>
  <si>
    <t>Change history</t>
  </si>
  <si>
    <t>FR-031</t>
  </si>
  <si>
    <t>Incident association</t>
  </si>
  <si>
    <t>FR-032</t>
  </si>
  <si>
    <t>Historical investigation</t>
  </si>
  <si>
    <t>Configurable policy rules</t>
  </si>
  <si>
    <t>T-062, T-063</t>
  </si>
  <si>
    <t>FR-034</t>
  </si>
  <si>
    <t>Policy evaluation</t>
  </si>
  <si>
    <t>GitHub PR integration (comment + check)</t>
  </si>
  <si>
    <t>Comment upsert live-verified; publish endpoint and check run built, check run simulated only (needs GitHub App)</t>
  </si>
  <si>
    <t>T-015, T-034, T-047, T-051, T-065</t>
  </si>
  <si>
    <t>FR-036</t>
  </si>
  <si>
    <t>FR-037</t>
  </si>
  <si>
    <t>Assistant / MCP distribution</t>
  </si>
  <si>
    <t>FR-038</t>
  </si>
  <si>
    <t>Change-management integration</t>
  </si>
  <si>
    <t>Additional SCM platforms</t>
  </si>
  <si>
    <t>R4</t>
  </si>
  <si>
    <t>ADO + generic git URL ingestion done by PAT; PR comment/status and permission mirroring for ADO/GitLab/Bitbucket pending</t>
  </si>
  <si>
    <t>T-087, T-088, T-089</t>
  </si>
  <si>
    <t>Adapter SDK + additional languages</t>
  </si>
  <si>
    <t>T-090, T-091, T-092, T-093, T-094</t>
  </si>
  <si>
    <t>FR-041</t>
  </si>
  <si>
    <t>SQL / stored-procedure lineage</t>
  </si>
  <si>
    <t>FR-044</t>
  </si>
  <si>
    <t>PL-001</t>
  </si>
  <si>
    <t>SSO OIDC/SAML, API tokens</t>
  </si>
  <si>
    <t>OIDC, SAML 2.0 and scoped service tokens built; verified against our own provider simulations only (no real IdP)</t>
  </si>
  <si>
    <t>PL-002</t>
  </si>
  <si>
    <t>RBAC + SCM permission mirroring</t>
  </si>
  <si>
    <t>Five roles + GitHub permission mirroring done (fake GitHub API); Azure DevOps mirroring not built</t>
  </si>
  <si>
    <t>T-015, T-040</t>
  </si>
  <si>
    <t>Multi-tenant isolation (shared schema + RLS)</t>
  </si>
  <si>
    <t>RLS on every tenant table, tenant resolved from the credential on every request, per-tenant workspace/quota/config/users; webhooks still use the default tenant</t>
  </si>
  <si>
    <t>T-022, T-074</t>
  </si>
  <si>
    <t>HA and horizontal scale</t>
  </si>
  <si>
    <t>Backup / DR</t>
  </si>
  <si>
    <t>Admin console + config API</t>
  </si>
  <si>
    <t>Platform observability</t>
  </si>
  <si>
    <t>Metrics, JSON logs, traces, health/readiness built; verified against a fake OTLP collector only</t>
  </si>
  <si>
    <t>T-037, T-053</t>
  </si>
  <si>
    <t>Versioned public API + SDK</t>
  </si>
  <si>
    <t>v1 REST endpoints exist; no OpenAPI publish/SDK</t>
  </si>
  <si>
    <t>T-016, T-085</t>
  </si>
  <si>
    <t>Containers, Helm, Compose</t>
  </si>
  <si>
    <t>T-052, T-053</t>
  </si>
  <si>
    <t>Air-gapped install</t>
  </si>
  <si>
    <t>Encryption + secrets manager</t>
  </si>
  <si>
    <t>Envelope encryption, scrubbing, TLS enforcement done; real Vault/KMS and PostgreSQL TLS not verified</t>
  </si>
  <si>
    <t>PL-013</t>
  </si>
  <si>
    <t>Tenant lifecycle</t>
  </si>
  <si>
    <t>Provision/suspend/resume/offboard with verified deletion + storage quota</t>
  </si>
  <si>
    <t>PL-015</t>
  </si>
  <si>
    <t>Data residency</t>
  </si>
  <si>
    <t>Per-tenant keys / BYOK</t>
  </si>
  <si>
    <t>PL-017</t>
  </si>
  <si>
    <t>Per-tenant fair scheduling</t>
  </si>
  <si>
    <t>Round-robin by queued position + exact per-tenant concurrency cap; verified on PostgreSQL</t>
  </si>
  <si>
    <t>SOC 2 / ISO 27001 controls</t>
  </si>
  <si>
    <t>Impact path explorer / code graph</t>
  </si>
  <si>
    <t>Explorer + impact overlay built (v0); filters by severity/evidence/environment, saved views, accessibility, large-scale clustering pending</t>
  </si>
  <si>
    <t>T-020, T-021, T-068</t>
  </si>
  <si>
    <t>Audit</t>
  </si>
  <si>
    <t>Tamper-evident keyed chain in PostgreSQL done; GitHub/ADO writes, logins and policy events audited when those features land</t>
  </si>
  <si>
    <t>T-023, T-048</t>
  </si>
  <si>
    <t>Data retention</t>
  </si>
  <si>
    <t>Performance targets</t>
  </si>
  <si>
    <t>R1-R3</t>
  </si>
  <si>
    <t>Unmeasured</t>
  </si>
  <si>
    <t>15</t>
  </si>
  <si>
    <t>Accuracy targets</t>
  </si>
  <si>
    <t>Measured on two independent real-code Java landscapes + a synthetic one: all measured targets met; time-saving not measured; no independent Python reference</t>
  </si>
  <si>
    <t>AC</t>
  </si>
  <si>
    <t>Criterion (short)</t>
  </si>
  <si>
    <t>AC-001</t>
  </si>
  <si>
    <t>Exact revisions</t>
  </si>
  <si>
    <t>AC-002</t>
  </si>
  <si>
    <t>Direct impact</t>
  </si>
  <si>
    <t>AC-003</t>
  </si>
  <si>
    <t>Transitive impact</t>
  </si>
  <si>
    <t>AC-004</t>
  </si>
  <si>
    <t>Contract impact</t>
  </si>
  <si>
    <t>AC-005</t>
  </si>
  <si>
    <t>Unresolved consumer</t>
  </si>
  <si>
    <t>AC-006</t>
  </si>
  <si>
    <t>Test association</t>
  </si>
  <si>
    <t>AC-007</t>
  </si>
  <si>
    <t>Runtime distinction</t>
  </si>
  <si>
    <t>AC-008</t>
  </si>
  <si>
    <t>No false coverage claim</t>
  </si>
  <si>
    <t>AC-009</t>
  </si>
  <si>
    <t>Failed scan</t>
  </si>
  <si>
    <t>AC-010</t>
  </si>
  <si>
    <t>Zero-impact result</t>
  </si>
  <si>
    <t>AC-011</t>
  </si>
  <si>
    <t>Stale relationships</t>
  </si>
  <si>
    <t>AC-012</t>
  </si>
  <si>
    <t>AC-013</t>
  </si>
  <si>
    <t>Policy failure</t>
  </si>
  <si>
    <t>AC-014</t>
  </si>
  <si>
    <t>Policy not evaluated</t>
  </si>
  <si>
    <t>Reproducible evidence</t>
  </si>
  <si>
    <t>Snapshots materialised, pinned and reproduced identically (incl. after the landscape moved on)</t>
  </si>
  <si>
    <t>AC-016</t>
  </si>
  <si>
    <t>Access control</t>
  </si>
  <si>
    <t>Per-reader redaction and 404 for unreadable repositories; GitHub mirror verified against a fake API, PR comment follows the readers rule</t>
  </si>
  <si>
    <t>AC-017</t>
  </si>
  <si>
    <t>No invented entities</t>
  </si>
  <si>
    <t>AC-018</t>
  </si>
  <si>
    <t>Resolution transparency</t>
  </si>
  <si>
    <t>AC-019</t>
  </si>
  <si>
    <t>Inference labelling</t>
  </si>
  <si>
    <t>AC-020</t>
  </si>
  <si>
    <t>PR comment</t>
  </si>
  <si>
    <t>Comment upsert live on github.com; check run simulated only</t>
  </si>
  <si>
    <t>T-034, T-051</t>
  </si>
  <si>
    <t>AC-021</t>
  </si>
  <si>
    <t>Incremental update</t>
  </si>
  <si>
    <t>AC-022</t>
  </si>
  <si>
    <t>Freshness</t>
  </si>
  <si>
    <t>AC-023</t>
  </si>
  <si>
    <t>Java analysis</t>
  </si>
  <si>
    <t>T-029, T-031</t>
  </si>
  <si>
    <t>AC-024</t>
  </si>
  <si>
    <t>Data impact</t>
  </si>
  <si>
    <t>AC-025</t>
  </si>
  <si>
    <t>SSO and RBAC</t>
  </si>
  <si>
    <t>Roles enforced by a deny-by-default route table; tenant configuration (the policy stand-in) needs release_manager or administrator; every action audited with its actor; real IdP not used</t>
  </si>
  <si>
    <t>T-039, T-040</t>
  </si>
  <si>
    <t>AC-026</t>
  </si>
  <si>
    <t>GitHub App JWT/installation tokens/routing/linking built and verified against a stand-in; no real GitHub App registered</t>
  </si>
  <si>
    <t>AC-027</t>
  </si>
  <si>
    <t>CI evidence</t>
  </si>
  <si>
    <t>T-055, T-056</t>
  </si>
  <si>
    <t>AC-028</t>
  </si>
  <si>
    <t>Event impact</t>
  </si>
  <si>
    <t>AC-029</t>
  </si>
  <si>
    <t>Deployed version</t>
  </si>
  <si>
    <t>AC-030</t>
  </si>
  <si>
    <t>Enforcement mode</t>
  </si>
  <si>
    <t>AC-031</t>
  </si>
  <si>
    <t>ITSM</t>
  </si>
  <si>
    <t>AC-032</t>
  </si>
  <si>
    <t>MCP</t>
  </si>
  <si>
    <t>AC-033</t>
  </si>
  <si>
    <t>Temporal query</t>
  </si>
  <si>
    <t>AC-034</t>
  </si>
  <si>
    <t>Incident</t>
  </si>
  <si>
    <t>T-078, T-079</t>
  </si>
  <si>
    <t>AC-035</t>
  </si>
  <si>
    <t>Tenant isolation</t>
  </si>
  <si>
    <t>Verified at storage layer (RLS tests) and at the API: the credential names the tenant, other tenants' reports, jobs and repositories answer 404</t>
  </si>
  <si>
    <t>AC-036</t>
  </si>
  <si>
    <t>Additional SCM</t>
  </si>
  <si>
    <t>AC-037</t>
  </si>
  <si>
    <t>SQL lineage</t>
  </si>
  <si>
    <t>AC-038</t>
  </si>
  <si>
    <t>Calibration</t>
  </si>
  <si>
    <t>AC-039</t>
  </si>
  <si>
    <t>AC-040</t>
  </si>
  <si>
    <t>Fair scheduling</t>
  </si>
  <si>
    <t>AC-041</t>
  </si>
  <si>
    <t>Use case</t>
  </si>
  <si>
    <t>PRD ref</t>
  </si>
  <si>
    <t>State</t>
  </si>
  <si>
    <t>What works today</t>
  </si>
  <si>
    <t>What is missing</t>
  </si>
  <si>
    <t>PR impact analysis</t>
  </si>
  <si>
    <t>5.1 FR-035</t>
  </si>
  <si>
    <t>Branch/PR analysis from GitHub, Azure DevOps, git URL, local path; findings, severity, unknowns, PR-comment markdown; impact graph</t>
  </si>
  <si>
    <t>Automatic trigger on PR events (webhook), posting the comment back, check run, Java, ORM/data impact</t>
  </si>
  <si>
    <t>T-015, T-017, T-018, T-028, T-034, T-041, T-047, T-051, T-065</t>
  </si>
  <si>
    <t>API contract change</t>
  </si>
  <si>
    <t>5.2 FR-018 FR-019 FR-020</t>
  </si>
  <si>
    <t>REST: removed/changed endpoint, removed/retyped response field, new required request field; consumers resolved via R1/R2/R3/R5</t>
  </si>
  <si>
    <t>Events and message schemas, full compatibility rules, OpenAPI ingestion, consumer-specific CI test evidence</t>
  </si>
  <si>
    <t>T-012, T-058, T-059</t>
  </si>
  <si>
    <t>Explore the landscape (code graph)</t>
  </si>
  <si>
    <t>9.2</t>
  </si>
  <si>
    <t>Service / endpoint / function graph with evidence colouring, search, focus, impact overlay</t>
  </si>
  <si>
    <t>Filters by severity/evidence/environment, saved views, large-landscape clustering, accessibility, persisted graph store</t>
  </si>
  <si>
    <t>Production incident investigation</t>
  </si>
  <si>
    <t>5.3 FR-031 FR-032</t>
  </si>
  <si>
    <t>Incident ingestion, deployment and runtime evidence, historical graph, association labels (never root cause)</t>
  </si>
  <si>
    <t>T-077, T-078, T-079</t>
  </si>
  <si>
    <t>Release-readiness assessment</t>
  </si>
  <si>
    <t>5.4 FR-033 FR-034 FR-036</t>
  </si>
  <si>
    <t>CI results, coverage, deployed versions, policy engine, advisory/enforcement mode, ITSM attachment</t>
  </si>
  <si>
    <t>T-055, T-062, T-063, T-064, T-066</t>
  </si>
  <si>
    <t>Assistant / MCP retrieval</t>
  </si>
  <si>
    <t>REST API returns reports as JSON</t>
  </si>
  <si>
    <t>MCP server, read-only tools</t>
  </si>
  <si>
    <t>Governance and audit reporting</t>
  </si>
  <si>
    <t>11.3 11.4</t>
  </si>
  <si>
    <t>JSONL audit of analyses</t>
  </si>
  <si>
    <t>Tamper-evident audit, retention enforcement, audit reports, RBAC</t>
  </si>
  <si>
    <t>R1/R3</t>
  </si>
  <si>
    <t>T-015, T-023, T-040, T-048, T-080</t>
  </si>
  <si>
    <t>Use case 1 - Pull-request impact analysis (PRD 5.1): definition of done</t>
  </si>
  <si>
    <t>The use case is CLOSED only when every row is 'Verified (live)', or the user explicitly waives live verification for a row. Levels: Not started &lt; In progress &lt; Built &lt; Verified (simulated: tests/fakes) &lt; Verified (live: real GitHub / Azure DevOps / IdP). Rows marked LIVE-NEEDED cannot reach 'Verified (live)' without your credentials/accounts.</t>
  </si>
  <si>
    <t>Progress</t>
  </si>
  <si>
    <t>Use case closed?</t>
  </si>
  <si>
    <t>PRD 5.1 step</t>
  </si>
  <si>
    <t>Item (must all be true)</t>
  </si>
  <si>
    <t>Needs live external account</t>
  </si>
  <si>
    <t>UC1-01</t>
  </si>
  <si>
    <t>all</t>
  </si>
  <si>
    <t>Multi-tenant PostgreSQL storage: schema, migrations, forced RLS, non-owner app role, tenant context per transaction</t>
  </si>
  <si>
    <t>Verified (live)</t>
  </si>
  <si>
    <t>tests/test_storage.py + app running on PostgreSQL</t>
  </si>
  <si>
    <t>Real PostgreSQL 16.2 (embedded). Managed-PG/PgBouncer deployment not tested</t>
  </si>
  <si>
    <t>UC1-02</t>
  </si>
  <si>
    <t>Tamper-evident (hash-chained, append-only) audit trail incl. external writes</t>
  </si>
  <si>
    <t>tests/test_storage.py + tests/test_auth_api.py (actor on every action, denials, logins); live: audit chain verified after sign-ins, token and role changes</t>
  </si>
  <si>
    <t>Azure DevOps comment writes will be audited when UC1-15 is built</t>
  </si>
  <si>
    <t>UC1-03</t>
  </si>
  <si>
    <t>1</t>
  </si>
  <si>
    <t>Job queue on PostgreSQL: idempotent submission, retries, per-tenant fair scheduling, newest-revision-wins supersede</t>
  </si>
  <si>
    <t>PL-017 AC-040 TFD-8/12</t>
  </si>
  <si>
    <t>tests/test_jobs.py (20) + live dev server</t>
  </si>
  <si>
    <t>Real PostgreSQL 16.2; webhook-triggered enqueue is UC1-05/06</t>
  </si>
  <si>
    <t>UC1-04</t>
  </si>
  <si>
    <t>1,2</t>
  </si>
  <si>
    <t>GitHub App connector: App JWT + installation tokens, repo registration, clone/fetch with installation token, permission-failure reporting</t>
  </si>
  <si>
    <t>LIVE-NEEDED</t>
  </si>
  <si>
    <t>Verified (simulated)</t>
  </si>
  <si>
    <t>tests/test_githubapp.py (51); live: CLI + API + worker processes against a GitHub platform stand-in</t>
  </si>
  <si>
    <t>No real GitHub App registered; GitHub's real permission model and the user-authorisation redirect untested</t>
  </si>
  <si>
    <t>UC1-05</t>
  </si>
  <si>
    <t>GitHub webhook receiver: HMAC signature verification, delivery-id idempotency, opened/synchronize/reopened/closed handling</t>
  </si>
  <si>
    <t>tests/test_webhooks.py: signature, parsing, guards, delivery dedupe, supersede, e2e; a locally signed delivery of the real sandbox PR updated its real GitHub comment</t>
  </si>
  <si>
    <t>Delivery FROM github.com via a tunnel not done (cloudflared download blocked); closed/merged handling is a no-op; tenant from deployment until SSO</t>
  </si>
  <si>
    <t>UC1-06</t>
  </si>
  <si>
    <t>Azure DevOps: service-hook receiver (PR created/updated) with auth verification, PR fetch, repo registration</t>
  </si>
  <si>
    <t>FR-001 FR-039</t>
  </si>
  <si>
    <t>Ingestion by PAT already works (simulated)</t>
  </si>
  <si>
    <t>UC1-07</t>
  </si>
  <si>
    <t>3,4</t>
  </si>
  <si>
    <t>Java / Spring adapter: routes, RestTemplate/WebClient/Feign, generated clients, tests</t>
  </si>
  <si>
    <t>FR-004 FR-017 AC-023</t>
  </si>
  <si>
    <t>tests/test_java.py (35) + real spring-petclinic-microservices code (54 files, 0 parse failures)</t>
  </si>
  <si>
    <t>REST side only: AC-023 also needs JPA data access (UC1-08); see task notes for framework limits</t>
  </si>
  <si>
    <t>UC1-08</t>
  </si>
  <si>
    <t>4</t>
  </si>
  <si>
    <t>Python ORM and migration extraction (SQLAlchemy, Django ORM, Alembic, Django migrations)</t>
  </si>
  <si>
    <t>tests/test_data.py + real django-realworld-example-app and fastapi full-stack template (schema replayed from migrations equals ORM columns exactly)</t>
  </si>
  <si>
    <t>Raw SQL, Table() objects, dynamic table names, RunPython reported as unknown; see task notes</t>
  </si>
  <si>
    <t>UC1-09</t>
  </si>
  <si>
    <t>Java ORM and migration extraction (JPA, Spring Data, Flyway/Liquibase)</t>
  </si>
  <si>
    <t>tests/test_data.py + real spring-petclinic and jhipster-sample-app (Liquibase replay equals JPA columns exactly)</t>
  </si>
  <si>
    <t>EntityManager/JDBC/jOOQ, procedural SQL, custom naming strategy, undeclared join tables reported as unknown; see task notes</t>
  </si>
  <si>
    <t>UC1-10</t>
  </si>
  <si>
    <t>Data-impact traversal and findings (migration/schema change -&gt; services via ORM mappings)</t>
  </si>
  <si>
    <t>tests/test_data.py + live dev server on PostgreSQL (HTTP, queue+worker, 8 branches, reproduce identical) + real Chrome (impact overlay, search, 0 console errors)</t>
  </si>
  <si>
    <t>Shared-database identity must be declared or come from a literal JDBC URL; column precision only for mapped columns; FR-041 (SQL lineage) not built</t>
  </si>
  <si>
    <t>UC1-11</t>
  </si>
  <si>
    <t>Persisted versioned graph with incremental invalidation; full-rescan path; graph equals full rescan</t>
  </si>
  <si>
    <t>tests/test_incremental.py + tests/test_graph_versions.py; also run live against the GitHub sandbox repos</t>
  </si>
  <si>
    <t>Real PostgreSQL 16.2 + real git. Python adapter only; Java is UC1-07</t>
  </si>
  <si>
    <t>UC1-12</t>
  </si>
  <si>
    <t>6</t>
  </si>
  <si>
    <t>Stale-relationship handling and repository freshness tracking</t>
  </si>
  <si>
    <t>tests/test_stale.py (6) incl. a real failed fetch and recovery</t>
  </si>
  <si>
    <t>Real PostgreSQL + real git remotes (file URLs). A GitHub-side outage was not induced</t>
  </si>
  <si>
    <t>UC1-13</t>
  </si>
  <si>
    <t>Evidence snapshots materialised; re-analysis on a snapshot is identical</t>
  </si>
  <si>
    <t>tests/test_snapshots.py (8); reproduced on the GitHub sandbox PR</t>
  </si>
  <si>
    <t>Local repositories cannot be pinned</t>
  </si>
  <si>
    <t>UC1-14</t>
  </si>
  <si>
    <t>7</t>
  </si>
  <si>
    <t>GitHub: single PR comment updated in place + check run (advisory), via the App</t>
  </si>
  <si>
    <t>tests/test_publish.py, tests/test_webhooks.py (fake GitHub); comment upsert live on github.com earlier</t>
  </si>
  <si>
    <t>Check run simulated only (needs GitHub App); posts with a PAT not the App; default audience hides downstream repo names</t>
  </si>
  <si>
    <t>UC1-15</t>
  </si>
  <si>
    <t>Azure DevOps: PR thread comment (updated in place) + PR status</t>
  </si>
  <si>
    <t>FR-035 FR-039</t>
  </si>
  <si>
    <t>UC1-16</t>
  </si>
  <si>
    <t>Shareable report page per analysis in the UI (permalink linked from the PR comment)</t>
  </si>
  <si>
    <t>tests/test_reportpage.py + real Chrome desktop and mobile</t>
  </si>
  <si>
    <t>UC1-17</t>
  </si>
  <si>
    <t>8</t>
  </si>
  <si>
    <t>Re-analysis on every push; a superseded analysis never overwrites the newer result on the PR</t>
  </si>
  <si>
    <t>FR-002 AC-001 AC-020</t>
  </si>
  <si>
    <t>tests/test_webhooks.py: new push updates the same comment; older queued run superseded, never comments</t>
  </si>
  <si>
    <t>Depends on live webhook delivery for the real trigger; ADO equivalent is UC1-06/15</t>
  </si>
  <si>
    <t>UC1-18</t>
  </si>
  <si>
    <t>SSO (OIDC and SAML 2.0) and service-account tokens</t>
  </si>
  <si>
    <t>tests/test_auth.py, tests/test_auth_api.py, tests/test_saml.py; live: real Chrome through a real OIDC flow on loopback</t>
  </si>
  <si>
    <t>No real identity provider (OIDC or SAML) used; SHA-1 SAML refusal not exercised</t>
  </si>
  <si>
    <t>UC1-19</t>
  </si>
  <si>
    <t>RBAC and SCM permission mirroring; findings from repos the reader cannot access never appear (incl. on the PR comment)</t>
  </si>
  <si>
    <t>tests/test_access.py; live: four people, different repositories and redacted reports, mirror sync from a fake GitHub API</t>
  </si>
  <si>
    <t>GitHub collaborators API is faked; Azure DevOps mirroring not built</t>
  </si>
  <si>
    <t>UC1-20</t>
  </si>
  <si>
    <t>Tenant lifecycle: provision, SCM installation mapping, suspend, offboard with verified deletion</t>
  </si>
  <si>
    <t>tests/test_tenants.py (21) + live admin CLI/API/worker on PostgreSQL</t>
  </si>
  <si>
    <t>No real GitHub App installation event wired (UC1-04)</t>
  </si>
  <si>
    <t>UC1-21</t>
  </si>
  <si>
    <t>Secrets management and encryption at rest/in transit; no secrets in graph or reports</t>
  </si>
  <si>
    <t>tests/test_credentials.py, tests/test_secretstore.py (fake Vault, test PKI)</t>
  </si>
  <si>
    <t>Real Vault, KMS, PostgreSQL TLS not verified</t>
  </si>
  <si>
    <t>UC1-22</t>
  </si>
  <si>
    <t>Platform observability: metrics, structured logs, traces, health/readiness</t>
  </si>
  <si>
    <t>tests/test_observability.py + live API/worker; fake OTLP collector</t>
  </si>
  <si>
    <t>Real Prometheus/OTel collector not verified</t>
  </si>
  <si>
    <t>UC1-23</t>
  </si>
  <si>
    <t>Container images, Docker Compose, Helm chart; SaaS environment definition</t>
  </si>
  <si>
    <t>No Docker/Kubernetes in this environment: build files can be written, not run</t>
  </si>
  <si>
    <t>UC1-24</t>
  </si>
  <si>
    <t>Configuration management: per-tenant limits, severity overrides, criticality, prefixes (versioned)</t>
  </si>
  <si>
    <t>tests/test_tenantconfig.py (65) + live CLI-&gt;API-&gt;worker + real Chrome</t>
  </si>
  <si>
    <t>No approval workflow/RBAC</t>
  </si>
  <si>
    <t>UC1-25</t>
  </si>
  <si>
    <t>Reference landscape (Java + Python) with curated dependency set; accuracy harness; PRD 15.3 targets met</t>
  </si>
  <si>
    <t>PRD-15</t>
  </si>
  <si>
    <t>tools/accuracy.py on spring-petclinic-microservices and piggymetrics (real third-party code) + synthetic landscape; tests/test_accuracy.py</t>
  </si>
  <si>
    <t>Java only for the independent references; small samples; assessment-time reduction not measured; configuration-dependent for context paths</t>
  </si>
  <si>
    <t>UC1-26</t>
  </si>
  <si>
    <t>Performance benchmark meets PRD 12 targets</t>
  </si>
  <si>
    <t>tools/benchmark.py at 500 repositories / 0.6 M lines on a real PostgreSQL; docs/PERFORMANCE.md</t>
  </si>
  <si>
    <t>Generated landscape, 20 M LOC scan target not demonstrated; burst margin thin; availability/recovery not measured</t>
  </si>
  <si>
    <t>UC1-27</t>
  </si>
  <si>
    <t>Security review and threat model; no open critical/high findings</t>
  </si>
  <si>
    <t>docs/SECURITY.md + independent review + tests/test_security_review.py</t>
  </si>
  <si>
    <t>Not an external pentest; M7 open (mitigated); several areas not independently reviewed</t>
  </si>
  <si>
    <t>UC1-28</t>
  </si>
  <si>
    <t>Administrator, user, and API documentation</t>
  </si>
  <si>
    <t>PRD-13</t>
  </si>
  <si>
    <t>docs/ADMIN-GUIDE.md, USER-GUIDE.md, API.md + tests/test_docs.py</t>
  </si>
  <si>
    <t>No field validation by real administrators or users</t>
  </si>
  <si>
    <t>UC1-29</t>
  </si>
  <si>
    <t>CI pipeline for TIA itself</t>
  </si>
  <si>
    <t>tests/test_ci.py + the same gates run locally via tools/ci.py</t>
  </si>
  <si>
    <t>Workflow never executed on GitHub Actions (no push); actions pinned by tag</t>
  </si>
  <si>
    <t>UC1-30</t>
  </si>
  <si>
    <t>Code upload from the user drive: zip and whole folder, 2 GiB cap, each upload a revision analysed like a PR</t>
  </si>
  <si>
    <t>tests/test_upload.py (33) + real Chrome + live 721 MB streamed upload</t>
  </si>
  <si>
    <t>Per-upload cap only; per-tenant storage quota later</t>
  </si>
  <si>
    <t>Type</t>
  </si>
  <si>
    <t>Item</t>
  </si>
  <si>
    <t>Detail</t>
  </si>
  <si>
    <t>Owner / action</t>
  </si>
  <si>
    <t>Decision</t>
  </si>
  <si>
    <t>Scope</t>
  </si>
  <si>
    <t>Confirmed by user (2026-10-29)</t>
  </si>
  <si>
    <t>Enterprise product, not MVP/pilot; every PRD requirement mandatory for GA (PRD v3.0).</t>
  </si>
  <si>
    <t>Release structure</t>
  </si>
  <si>
    <t>Proposed by Claude</t>
  </si>
  <si>
    <t>Four releases; GA = R4. Priorities P0/P1/P2 map to releases only.</t>
  </si>
  <si>
    <t>You: confirm</t>
  </si>
  <si>
    <t>Languages at R1</t>
  </si>
  <si>
    <t>Per PRD v3.0</t>
  </si>
  <si>
    <t>Java and Python both required in R1.</t>
  </si>
  <si>
    <t>Delivery model</t>
  </si>
  <si>
    <t>Multi-tenant SaaS (vendor-operated) + dedicated / customer-hosted option from the same code (PRD v3.1 11.2).</t>
  </si>
  <si>
    <t>Shared schema, tenant_id on every row, PostgreSQL forced row-level security.</t>
  </si>
  <si>
    <t>Dev/test database</t>
  </si>
  <si>
    <t>Decided</t>
  </si>
  <si>
    <t>Embedded PostgreSQL (pgserver 16.2) via tools/run_dev.py and the test suite; no SQLite anywhere.</t>
  </si>
  <si>
    <t>Engineering</t>
  </si>
  <si>
    <t>Primary datastore</t>
  </si>
  <si>
    <t>PostgreSQL. Local dev/test uses the pgserver package (bundled binaries in Project TIA/.venv); Program Files/PostgreSQL holds only leftover data folders, no server.</t>
  </si>
  <si>
    <t>Performance/availability targets</t>
  </si>
  <si>
    <t>Proposed</t>
  </si>
  <si>
    <t>Values marked 'proposed' in PRD 12 need customer SLA confirmation.</t>
  </si>
  <si>
    <t>You / customer</t>
  </si>
  <si>
    <t>Risk</t>
  </si>
  <si>
    <t>Size of scope</t>
  </si>
  <si>
    <t>Open</t>
  </si>
  <si>
    <t>Full GA scope is large (about 90 tasks, many L/XL). It will take many working sessions.</t>
  </si>
  <si>
    <t>Plan staffing</t>
  </si>
  <si>
    <t>External systems unavailable here</t>
  </si>
  <si>
    <t>No GitHub App credentials, IdP, ServiceNow, OTel backend, Docker, or Kubernetes in this environment: connectors can be built and tested with mocks/recorded fixtures but need live verification.</t>
  </si>
  <si>
    <t>You: provide sandbox access</t>
  </si>
  <si>
    <t>No real-world accuracy data</t>
  </si>
  <si>
    <t>Recall/precision unmeasured on real code.</t>
  </si>
  <si>
    <t>Reference landscape task</t>
  </si>
  <si>
    <t>Info</t>
  </si>
  <si>
    <t>Effort figures</t>
  </si>
  <si>
    <t>S &lt;1 day, M 1-3 days, L 3-10 days, XL &gt;10 days; Claude's rough estimates.</t>
  </si>
  <si>
    <t>Re-estimate with team</t>
  </si>
  <si>
    <t>Code layout rule</t>
  </si>
  <si>
    <t>Project TIA/tia = production code only; tests/, fixtures/, tools/ outside.</t>
  </si>
  <si>
    <t>Meaning</t>
  </si>
  <si>
    <t>Enterprise product per PRD v3.0. Every requirement is mandatory for GA; releases R1-R4 are delivery order, not optional tiers.</t>
  </si>
  <si>
    <t>Blue cells</t>
  </si>
  <si>
    <t>Inputs: Status, % Complete, Next order (Task Tracker); Status (Requirements, Acceptance Criteria); Last updated.</t>
  </si>
  <si>
    <t>Task status</t>
  </si>
  <si>
    <t>Completed / In Progress / Not Started / Blocked.</t>
  </si>
  <si>
    <t>Requirement status</t>
  </si>
  <si>
    <t>Done / Partial / Not started. 'Partial' always has a gap note.</t>
  </si>
  <si>
    <t>1 = do first. Next Tasks sheet reads it.</t>
  </si>
  <si>
    <t>S &lt;1 day, M 1-3 days, L 3-10 days, XL &gt;10 days (rough).</t>
  </si>
  <si>
    <t>FR = functional, PL = platform, AC = acceptance criterion, numbers = PRD sections. Requirements and AC sheets list task IDs by these refs.</t>
  </si>
  <si>
    <t>IDs</t>
  </si>
  <si>
    <t>T-001... follow row order; inserting rows does not renumber.</t>
  </si>
  <si>
    <t>Example row</t>
  </si>
  <si>
    <t>T-020 | R1 ... | Platform | PostgreSQL storage layer ... | ... | TFD-9 | | P0 | Not Started | 0% | L | | 1 | |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</si>
</sst>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4"/>
      <name val="Arial"/>
    </font>
    <font>
      <i/>
      <sz val="9"/>
      <name val="Arial"/>
    </font>
    <font>
      <b/>
      <sz val="10"/>
      <name val="Arial"/>
    </font>
    <font>
      <b/>
      <sz val="16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0" xfId="0" applyFont="1"/>
    <xf numFmtId="0" fontId="5" fillId="0" borderId="0" xfId="0" applyFont="1"/>
    <xf numFmtId="0" fontId="6" fillId="0" borderId="0" xfId="0" applyFont="1"/>
    <xf numFmtId="164" fontId="3" fillId="0" borderId="0" xfId="0" applyNumberFormat="1" applyFont="1"/>
    <xf numFmtId="0" fontId="8" fillId="0" borderId="0" xfId="0" applyFont="1"/>
    <xf numFmtId="0" fontId="2" fillId="0" borderId="0" xfId="0" applyFont="1"/>
    <xf numFmtId="9" fontId="2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19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workbookViewId="0"/>
  </sheetViews>
  <sheetFormatPr defaultRowHeight="14.5" x14ac:dyDescent="0.35"/>
  <cols>
    <col min="1" max="1" width="46" customWidth="1"/>
    <col min="2" max="3" width="12" customWidth="1"/>
    <col min="4" max="4" width="26" customWidth="1"/>
    <col min="5" max="6" width="12" customWidth="1"/>
    <col min="7" max="7" width="20" customWidth="1"/>
    <col min="8" max="8" width="12" customWidth="1"/>
  </cols>
  <sheetData>
    <row r="1" spans="1:8" ht="20" x14ac:dyDescent="0.4">
      <c r="A1" s="1" t="s">
        <v>0</v>
      </c>
    </row>
    <row r="2" spans="1:8" x14ac:dyDescent="0.35">
      <c r="A2" s="2" t="s">
        <v>1</v>
      </c>
    </row>
    <row r="3" spans="1:8" x14ac:dyDescent="0.35">
      <c r="A3" s="3" t="s">
        <v>2</v>
      </c>
      <c r="B3" s="4">
        <v>46325</v>
      </c>
    </row>
    <row r="5" spans="1:8" ht="15.5" x14ac:dyDescent="0.35">
      <c r="A5" s="5" t="s">
        <v>3</v>
      </c>
      <c r="D5" s="5" t="s">
        <v>4</v>
      </c>
      <c r="G5" s="5" t="s">
        <v>5</v>
      </c>
    </row>
    <row r="6" spans="1:8" x14ac:dyDescent="0.35">
      <c r="A6" s="6" t="s">
        <v>6</v>
      </c>
      <c r="B6" s="6">
        <f>COUNTA('Task Tracker'!$A$2:$A$251)</f>
        <v>100</v>
      </c>
      <c r="D6" s="6" t="s">
        <v>7</v>
      </c>
      <c r="E6" s="6">
        <f>COUNTA(Requirements!$A$2:$A$120)</f>
        <v>69</v>
      </c>
      <c r="G6" s="6" t="s">
        <v>7</v>
      </c>
      <c r="H6" s="6">
        <f>COUNTA('Acceptance Criteria'!$A$2:$A$72)</f>
        <v>41</v>
      </c>
    </row>
    <row r="7" spans="1:8" x14ac:dyDescent="0.35">
      <c r="A7" s="6" t="s">
        <v>8</v>
      </c>
      <c r="B7" s="6">
        <f>COUNTIF('Task Tracker'!$I$2:$I$251,"Completed")</f>
        <v>50</v>
      </c>
      <c r="D7" s="6" t="s">
        <v>9</v>
      </c>
      <c r="E7" s="6">
        <f>COUNTIF(Requirements!$D$2:$D$120,"Done")</f>
        <v>14</v>
      </c>
      <c r="G7" s="6" t="s">
        <v>9</v>
      </c>
      <c r="H7" s="6">
        <f>COUNTIF('Acceptance Criteria'!$D$2:$D$72,"Done")</f>
        <v>23</v>
      </c>
    </row>
    <row r="8" spans="1:8" x14ac:dyDescent="0.35">
      <c r="A8" s="6" t="s">
        <v>10</v>
      </c>
      <c r="B8" s="6">
        <f>COUNTIF('Task Tracker'!$I$2:$I$251,"In Progress")</f>
        <v>0</v>
      </c>
      <c r="D8" s="6" t="s">
        <v>11</v>
      </c>
      <c r="E8" s="6">
        <f>COUNTIF(Requirements!$D$2:$D$120,"Partial")</f>
        <v>19</v>
      </c>
      <c r="G8" s="6" t="s">
        <v>11</v>
      </c>
      <c r="H8" s="6">
        <f>COUNTIF('Acceptance Criteria'!$D$2:$D$72,"Partial")</f>
        <v>2</v>
      </c>
    </row>
    <row r="9" spans="1:8" x14ac:dyDescent="0.35">
      <c r="A9" s="6" t="s">
        <v>12</v>
      </c>
      <c r="B9" s="6">
        <f>COUNTIF('Task Tracker'!$I$2:$I$251,"Not Started")</f>
        <v>50</v>
      </c>
      <c r="D9" s="6" t="s">
        <v>12</v>
      </c>
      <c r="E9" s="6">
        <f>COUNTIF(Requirements!$D$2:$D$120,"Not started")</f>
        <v>36</v>
      </c>
      <c r="G9" s="6" t="s">
        <v>12</v>
      </c>
      <c r="H9" s="6">
        <f>COUNTIF('Acceptance Criteria'!$D$2:$D$72,"Not started")</f>
        <v>16</v>
      </c>
    </row>
    <row r="10" spans="1:8" x14ac:dyDescent="0.35">
      <c r="A10" s="6" t="s">
        <v>13</v>
      </c>
      <c r="B10" s="6">
        <f>COUNTIF('Task Tracker'!$I$2:$I$251,"Blocked")</f>
        <v>0</v>
      </c>
      <c r="D10" s="6" t="s">
        <v>14</v>
      </c>
      <c r="E10" s="7">
        <f>IFERROR(E7/E6,0)</f>
        <v>0.20289855072463769</v>
      </c>
      <c r="G10" s="6" t="s">
        <v>14</v>
      </c>
      <c r="H10" s="7">
        <f>IFERROR(H7/H6,0)</f>
        <v>0.56097560975609762</v>
      </c>
    </row>
    <row r="11" spans="1:8" x14ac:dyDescent="0.35">
      <c r="A11" s="6" t="s">
        <v>15</v>
      </c>
      <c r="B11" s="7">
        <f>IFERROR(B7/B6,0)</f>
        <v>0.5</v>
      </c>
    </row>
    <row r="12" spans="1:8" x14ac:dyDescent="0.35">
      <c r="A12" s="6" t="s">
        <v>16</v>
      </c>
      <c r="B12" s="6">
        <f>SUMPRODUCT(('Task Tracker'!$I$2:$I$251="Completed")*('Task Tracker'!$J$2:$J$251&lt;&gt;1))</f>
        <v>0</v>
      </c>
    </row>
    <row r="14" spans="1:8" ht="15.5" x14ac:dyDescent="0.35">
      <c r="A14" s="5" t="s">
        <v>17</v>
      </c>
    </row>
    <row r="15" spans="1:8" ht="26" x14ac:dyDescent="0.35">
      <c r="A15" s="8" t="s">
        <v>18</v>
      </c>
      <c r="B15" s="8" t="s">
        <v>3</v>
      </c>
      <c r="C15" s="8" t="s">
        <v>8</v>
      </c>
      <c r="D15" s="8" t="s">
        <v>10</v>
      </c>
      <c r="E15" s="8" t="s">
        <v>12</v>
      </c>
      <c r="F15" s="8" t="s">
        <v>19</v>
      </c>
      <c r="G15" s="8" t="s">
        <v>20</v>
      </c>
      <c r="H15" s="8" t="s">
        <v>21</v>
      </c>
    </row>
    <row r="16" spans="1:8" x14ac:dyDescent="0.35">
      <c r="A16" s="9" t="s">
        <v>22</v>
      </c>
      <c r="B16" s="10">
        <f>COUNTIF('Task Tracker'!$B$2:$B$251,$A16)</f>
        <v>6</v>
      </c>
      <c r="C16" s="10">
        <f>COUNTIFS('Task Tracker'!$B$2:$B$251,$A16,'Task Tracker'!$I$2:$I$251,"Completed")</f>
        <v>6</v>
      </c>
      <c r="D16" s="10">
        <f>COUNTIFS('Task Tracker'!$B$2:$B$251,$A16,'Task Tracker'!$I$2:$I$251,"In Progress")</f>
        <v>0</v>
      </c>
      <c r="E16" s="10">
        <f>COUNTIFS('Task Tracker'!$B$2:$B$251,$A16,'Task Tracker'!$I$2:$I$251,"Not Started")</f>
        <v>0</v>
      </c>
      <c r="F16" s="11">
        <f t="shared" ref="F16:F21" si="0">IFERROR(C16/B16,0)</f>
        <v>1</v>
      </c>
      <c r="G16" s="10">
        <v>0</v>
      </c>
      <c r="H16" s="10">
        <v>0</v>
      </c>
    </row>
    <row r="17" spans="1:8" x14ac:dyDescent="0.35">
      <c r="A17" s="9" t="s">
        <v>23</v>
      </c>
      <c r="B17" s="10">
        <f>COUNTIF('Task Tracker'!$B$2:$B$251,$A17)</f>
        <v>48</v>
      </c>
      <c r="C17" s="10">
        <f>COUNTIFS('Task Tracker'!$B$2:$B$251,$A17,'Task Tracker'!$I$2:$I$251,"Completed")</f>
        <v>44</v>
      </c>
      <c r="D17" s="10">
        <f>COUNTIFS('Task Tracker'!$B$2:$B$251,$A17,'Task Tracker'!$I$2:$I$251,"In Progress")</f>
        <v>0</v>
      </c>
      <c r="E17" s="10">
        <f>COUNTIFS('Task Tracker'!$B$2:$B$251,$A17,'Task Tracker'!$I$2:$I$251,"Not Started")</f>
        <v>4</v>
      </c>
      <c r="F17" s="11">
        <f t="shared" si="0"/>
        <v>0.91666666666666663</v>
      </c>
      <c r="G17" s="10">
        <f>COUNTIFS('Acceptance Criteria'!$C$2:$C$72,1,'Acceptance Criteria'!$D$2:$D$72,"Done")</f>
        <v>23</v>
      </c>
      <c r="H17" s="10">
        <f>COUNTIF('Acceptance Criteria'!$C$2:$C$72,1)</f>
        <v>25</v>
      </c>
    </row>
    <row r="18" spans="1:8" x14ac:dyDescent="0.35">
      <c r="A18" s="9" t="s">
        <v>24</v>
      </c>
      <c r="B18" s="10">
        <f>COUNTIF('Task Tracker'!$B$2:$B$251,$A18)</f>
        <v>22</v>
      </c>
      <c r="C18" s="10">
        <f>COUNTIFS('Task Tracker'!$B$2:$B$251,$A18,'Task Tracker'!$I$2:$I$251,"Completed")</f>
        <v>0</v>
      </c>
      <c r="D18" s="10">
        <f>COUNTIFS('Task Tracker'!$B$2:$B$251,$A18,'Task Tracker'!$I$2:$I$251,"In Progress")</f>
        <v>0</v>
      </c>
      <c r="E18" s="10">
        <f>COUNTIFS('Task Tracker'!$B$2:$B$251,$A18,'Task Tracker'!$I$2:$I$251,"Not Started")</f>
        <v>22</v>
      </c>
      <c r="F18" s="11">
        <f t="shared" si="0"/>
        <v>0</v>
      </c>
      <c r="G18" s="10">
        <f>COUNTIFS('Acceptance Criteria'!$C$2:$C$72,2,'Acceptance Criteria'!$D$2:$D$72,"Done")</f>
        <v>0</v>
      </c>
      <c r="H18" s="10">
        <f>COUNTIF('Acceptance Criteria'!$C$2:$C$72,2)</f>
        <v>11</v>
      </c>
    </row>
    <row r="19" spans="1:8" x14ac:dyDescent="0.35">
      <c r="A19" s="9" t="s">
        <v>25</v>
      </c>
      <c r="B19" s="10">
        <f>COUNTIF('Task Tracker'!$B$2:$B$251,$A19)</f>
        <v>10</v>
      </c>
      <c r="C19" s="10">
        <f>COUNTIFS('Task Tracker'!$B$2:$B$251,$A19,'Task Tracker'!$I$2:$I$251,"Completed")</f>
        <v>0</v>
      </c>
      <c r="D19" s="10">
        <f>COUNTIFS('Task Tracker'!$B$2:$B$251,$A19,'Task Tracker'!$I$2:$I$251,"In Progress")</f>
        <v>0</v>
      </c>
      <c r="E19" s="10">
        <f>COUNTIFS('Task Tracker'!$B$2:$B$251,$A19,'Task Tracker'!$I$2:$I$251,"Not Started")</f>
        <v>10</v>
      </c>
      <c r="F19" s="11">
        <f t="shared" si="0"/>
        <v>0</v>
      </c>
      <c r="G19" s="10">
        <f>COUNTIFS('Acceptance Criteria'!$C$2:$C$72,3,'Acceptance Criteria'!$D$2:$D$72,"Done")</f>
        <v>0</v>
      </c>
      <c r="H19" s="10">
        <f>COUNTIF('Acceptance Criteria'!$C$2:$C$72,3)</f>
        <v>2</v>
      </c>
    </row>
    <row r="20" spans="1:8" x14ac:dyDescent="0.35">
      <c r="A20" s="9" t="s">
        <v>26</v>
      </c>
      <c r="B20" s="10">
        <f>COUNTIF('Task Tracker'!$B$2:$B$251,$A20)</f>
        <v>14</v>
      </c>
      <c r="C20" s="10">
        <f>COUNTIFS('Task Tracker'!$B$2:$B$251,$A20,'Task Tracker'!$I$2:$I$251,"Completed")</f>
        <v>0</v>
      </c>
      <c r="D20" s="10">
        <f>COUNTIFS('Task Tracker'!$B$2:$B$251,$A20,'Task Tracker'!$I$2:$I$251,"In Progress")</f>
        <v>0</v>
      </c>
      <c r="E20" s="10">
        <f>COUNTIFS('Task Tracker'!$B$2:$B$251,$A20,'Task Tracker'!$I$2:$I$251,"Not Started")</f>
        <v>14</v>
      </c>
      <c r="F20" s="11">
        <f t="shared" si="0"/>
        <v>0</v>
      </c>
      <c r="G20" s="10">
        <f>COUNTIFS('Acceptance Criteria'!$C$2:$C$72,4,'Acceptance Criteria'!$D$2:$D$72,"Done")</f>
        <v>0</v>
      </c>
      <c r="H20" s="10">
        <f>COUNTIF('Acceptance Criteria'!$C$2:$C$72,4)</f>
        <v>3</v>
      </c>
    </row>
    <row r="21" spans="1:8" x14ac:dyDescent="0.35">
      <c r="A21" s="12" t="s">
        <v>7</v>
      </c>
      <c r="B21" s="13">
        <f>SUM(B16:B20)</f>
        <v>100</v>
      </c>
      <c r="C21" s="13">
        <f>SUM(C16:C20)</f>
        <v>50</v>
      </c>
      <c r="D21" s="13">
        <f>SUM(D16:D20)</f>
        <v>0</v>
      </c>
      <c r="E21" s="13">
        <f>SUM(E16:E20)</f>
        <v>50</v>
      </c>
      <c r="F21" s="14">
        <f t="shared" si="0"/>
        <v>0.5</v>
      </c>
      <c r="G21" s="13">
        <f>SUM(G16:G20)</f>
        <v>23</v>
      </c>
      <c r="H21" s="13">
        <f>SUM(H16:H20)</f>
        <v>41</v>
      </c>
    </row>
    <row r="23" spans="1:8" x14ac:dyDescent="0.35">
      <c r="A23" s="3" t="s">
        <v>27</v>
      </c>
      <c r="B23" s="3" t="str">
        <f>IF(AND(E7=E6,H7=H6),"READY","NOT READY")</f>
        <v>NOT READY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26" customWidth="1"/>
    <col min="3" max="3" width="13" customWidth="1"/>
    <col min="4" max="4" width="40" customWidth="1"/>
    <col min="5" max="5" width="50" customWidth="1"/>
    <col min="6" max="6" width="20" customWidth="1"/>
    <col min="7" max="7" width="26" customWidth="1"/>
    <col min="8" max="8" width="8" customWidth="1"/>
    <col min="9" max="9" width="13" customWidth="1"/>
    <col min="10" max="10" width="10" customWidth="1"/>
    <col min="11" max="11" width="9" customWidth="1"/>
    <col min="12" max="12" width="18" customWidth="1"/>
    <col min="13" max="13" width="8" customWidth="1"/>
    <col min="14" max="14" width="12" customWidth="1"/>
    <col min="15" max="15" width="24" customWidth="1"/>
    <col min="16" max="16" width="34" customWidth="1"/>
  </cols>
  <sheetData>
    <row r="1" spans="1:16" ht="30" customHeight="1" x14ac:dyDescent="0.35">
      <c r="A1" s="8" t="s">
        <v>28</v>
      </c>
      <c r="B1" s="8" t="s">
        <v>18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 t="s">
        <v>38</v>
      </c>
      <c r="M1" s="8" t="s">
        <v>39</v>
      </c>
      <c r="N1" s="8" t="s">
        <v>40</v>
      </c>
      <c r="O1" s="8" t="s">
        <v>41</v>
      </c>
      <c r="P1" s="8" t="s">
        <v>42</v>
      </c>
    </row>
    <row r="2" spans="1:16" ht="25" x14ac:dyDescent="0.35">
      <c r="A2" s="15" t="s">
        <v>43</v>
      </c>
      <c r="B2" s="16" t="s">
        <v>22</v>
      </c>
      <c r="C2" s="16" t="s">
        <v>44</v>
      </c>
      <c r="D2" s="16" t="s">
        <v>45</v>
      </c>
      <c r="E2" s="16" t="s">
        <v>46</v>
      </c>
      <c r="F2" s="16" t="s">
        <v>47</v>
      </c>
      <c r="G2" s="16" t="s">
        <v>48</v>
      </c>
      <c r="H2" s="15" t="s">
        <v>49</v>
      </c>
      <c r="I2" s="17" t="s">
        <v>8</v>
      </c>
      <c r="J2" s="18">
        <v>1</v>
      </c>
      <c r="K2" s="15" t="s">
        <v>50</v>
      </c>
      <c r="L2" s="16"/>
      <c r="M2" s="17"/>
      <c r="N2" s="19">
        <v>46323</v>
      </c>
      <c r="O2" s="16" t="s">
        <v>51</v>
      </c>
      <c r="P2" s="16"/>
    </row>
    <row r="3" spans="1:16" ht="25" x14ac:dyDescent="0.35">
      <c r="A3" s="15" t="s">
        <v>52</v>
      </c>
      <c r="B3" s="16" t="s">
        <v>22</v>
      </c>
      <c r="C3" s="16" t="s">
        <v>44</v>
      </c>
      <c r="D3" s="16" t="s">
        <v>53</v>
      </c>
      <c r="E3" s="16" t="s">
        <v>54</v>
      </c>
      <c r="F3" s="16" t="s">
        <v>47</v>
      </c>
      <c r="G3" s="16" t="s">
        <v>55</v>
      </c>
      <c r="H3" s="15" t="s">
        <v>49</v>
      </c>
      <c r="I3" s="17" t="s">
        <v>8</v>
      </c>
      <c r="J3" s="18">
        <v>1</v>
      </c>
      <c r="K3" s="15" t="s">
        <v>50</v>
      </c>
      <c r="L3" s="16"/>
      <c r="M3" s="17"/>
      <c r="N3" s="19">
        <v>46323</v>
      </c>
      <c r="O3" s="16" t="s">
        <v>51</v>
      </c>
      <c r="P3" s="16"/>
    </row>
    <row r="4" spans="1:16" ht="25" x14ac:dyDescent="0.35">
      <c r="A4" s="15" t="s">
        <v>56</v>
      </c>
      <c r="B4" s="16" t="s">
        <v>22</v>
      </c>
      <c r="C4" s="16" t="s">
        <v>44</v>
      </c>
      <c r="D4" s="16" t="s">
        <v>57</v>
      </c>
      <c r="E4" s="16" t="s">
        <v>58</v>
      </c>
      <c r="F4" s="16" t="s">
        <v>47</v>
      </c>
      <c r="G4" s="16" t="s">
        <v>55</v>
      </c>
      <c r="H4" s="15" t="s">
        <v>49</v>
      </c>
      <c r="I4" s="17" t="s">
        <v>8</v>
      </c>
      <c r="J4" s="18">
        <v>1</v>
      </c>
      <c r="K4" s="15" t="s">
        <v>50</v>
      </c>
      <c r="L4" s="16"/>
      <c r="M4" s="17"/>
      <c r="N4" s="19">
        <v>46324</v>
      </c>
      <c r="O4" s="16" t="s">
        <v>51</v>
      </c>
      <c r="P4" s="16"/>
    </row>
    <row r="5" spans="1:16" ht="25" x14ac:dyDescent="0.35">
      <c r="A5" s="15" t="s">
        <v>59</v>
      </c>
      <c r="B5" s="16" t="s">
        <v>22</v>
      </c>
      <c r="C5" s="16" t="s">
        <v>44</v>
      </c>
      <c r="D5" s="16" t="s">
        <v>60</v>
      </c>
      <c r="E5" s="16" t="s">
        <v>61</v>
      </c>
      <c r="F5" s="16" t="s">
        <v>47</v>
      </c>
      <c r="G5" s="16" t="s">
        <v>55</v>
      </c>
      <c r="H5" s="15" t="s">
        <v>49</v>
      </c>
      <c r="I5" s="17" t="s">
        <v>8</v>
      </c>
      <c r="J5" s="18">
        <v>1</v>
      </c>
      <c r="K5" s="15" t="s">
        <v>50</v>
      </c>
      <c r="L5" s="16"/>
      <c r="M5" s="17"/>
      <c r="N5" s="19">
        <v>46324</v>
      </c>
      <c r="O5" s="16" t="s">
        <v>51</v>
      </c>
      <c r="P5" s="16"/>
    </row>
    <row r="6" spans="1:16" ht="25" x14ac:dyDescent="0.35">
      <c r="A6" s="15" t="s">
        <v>62</v>
      </c>
      <c r="B6" s="16" t="s">
        <v>22</v>
      </c>
      <c r="C6" s="16" t="s">
        <v>44</v>
      </c>
      <c r="D6" s="16" t="s">
        <v>63</v>
      </c>
      <c r="E6" s="16" t="s">
        <v>64</v>
      </c>
      <c r="F6" s="16" t="s">
        <v>47</v>
      </c>
      <c r="G6" s="16" t="s">
        <v>65</v>
      </c>
      <c r="H6" s="15" t="s">
        <v>49</v>
      </c>
      <c r="I6" s="17" t="s">
        <v>8</v>
      </c>
      <c r="J6" s="18">
        <v>1</v>
      </c>
      <c r="K6" s="15" t="s">
        <v>50</v>
      </c>
      <c r="L6" s="16"/>
      <c r="M6" s="17"/>
      <c r="N6" s="19">
        <v>46323</v>
      </c>
      <c r="O6" s="16" t="s">
        <v>51</v>
      </c>
      <c r="P6" s="16"/>
    </row>
    <row r="7" spans="1:16" ht="25" x14ac:dyDescent="0.35">
      <c r="A7" s="15" t="s">
        <v>66</v>
      </c>
      <c r="B7" s="16" t="s">
        <v>22</v>
      </c>
      <c r="C7" s="16" t="s">
        <v>44</v>
      </c>
      <c r="D7" s="16" t="s">
        <v>67</v>
      </c>
      <c r="E7" s="16" t="s">
        <v>68</v>
      </c>
      <c r="F7" s="16" t="s">
        <v>47</v>
      </c>
      <c r="G7" s="16" t="s">
        <v>69</v>
      </c>
      <c r="H7" s="15" t="s">
        <v>49</v>
      </c>
      <c r="I7" s="17" t="s">
        <v>8</v>
      </c>
      <c r="J7" s="18">
        <v>1</v>
      </c>
      <c r="K7" s="15" t="s">
        <v>50</v>
      </c>
      <c r="L7" s="16"/>
      <c r="M7" s="17"/>
      <c r="N7" s="19">
        <v>46324</v>
      </c>
      <c r="O7" s="16" t="s">
        <v>51</v>
      </c>
      <c r="P7" s="16"/>
    </row>
    <row r="8" spans="1:16" ht="25" x14ac:dyDescent="0.35">
      <c r="A8" s="15" t="s">
        <v>70</v>
      </c>
      <c r="B8" s="16" t="s">
        <v>23</v>
      </c>
      <c r="C8" s="16" t="s">
        <v>71</v>
      </c>
      <c r="D8" s="16" t="s">
        <v>72</v>
      </c>
      <c r="E8" s="16" t="s">
        <v>73</v>
      </c>
      <c r="F8" s="16" t="s">
        <v>74</v>
      </c>
      <c r="G8" s="16" t="s">
        <v>75</v>
      </c>
      <c r="H8" s="15" t="s">
        <v>49</v>
      </c>
      <c r="I8" s="17" t="s">
        <v>8</v>
      </c>
      <c r="J8" s="18">
        <v>1</v>
      </c>
      <c r="K8" s="15" t="s">
        <v>50</v>
      </c>
      <c r="L8" s="16"/>
      <c r="M8" s="17"/>
      <c r="N8" s="19">
        <v>46323</v>
      </c>
      <c r="O8" s="16" t="s">
        <v>76</v>
      </c>
      <c r="P8" s="16"/>
    </row>
    <row r="9" spans="1:16" ht="25" x14ac:dyDescent="0.35">
      <c r="A9" s="15" t="s">
        <v>77</v>
      </c>
      <c r="B9" s="16" t="s">
        <v>23</v>
      </c>
      <c r="C9" s="16" t="s">
        <v>71</v>
      </c>
      <c r="D9" s="16" t="s">
        <v>78</v>
      </c>
      <c r="E9" s="16" t="s">
        <v>79</v>
      </c>
      <c r="F9" s="16" t="s">
        <v>80</v>
      </c>
      <c r="G9" s="16" t="s">
        <v>81</v>
      </c>
      <c r="H9" s="15" t="s">
        <v>49</v>
      </c>
      <c r="I9" s="17" t="s">
        <v>8</v>
      </c>
      <c r="J9" s="18">
        <v>1</v>
      </c>
      <c r="K9" s="15" t="s">
        <v>50</v>
      </c>
      <c r="L9" s="16"/>
      <c r="M9" s="17"/>
      <c r="N9" s="19">
        <v>46323</v>
      </c>
      <c r="O9" s="16" t="s">
        <v>82</v>
      </c>
      <c r="P9" s="16" t="s">
        <v>83</v>
      </c>
    </row>
    <row r="10" spans="1:16" ht="25" x14ac:dyDescent="0.35">
      <c r="A10" s="15" t="s">
        <v>84</v>
      </c>
      <c r="B10" s="16" t="s">
        <v>23</v>
      </c>
      <c r="C10" s="16" t="s">
        <v>85</v>
      </c>
      <c r="D10" s="16" t="s">
        <v>86</v>
      </c>
      <c r="E10" s="16" t="s">
        <v>87</v>
      </c>
      <c r="F10" s="16" t="s">
        <v>88</v>
      </c>
      <c r="G10" s="16" t="s">
        <v>89</v>
      </c>
      <c r="H10" s="15" t="s">
        <v>49</v>
      </c>
      <c r="I10" s="17" t="s">
        <v>8</v>
      </c>
      <c r="J10" s="18">
        <v>1</v>
      </c>
      <c r="K10" s="15" t="s">
        <v>50</v>
      </c>
      <c r="L10" s="16"/>
      <c r="M10" s="17"/>
      <c r="N10" s="19">
        <v>46323</v>
      </c>
      <c r="O10" s="16" t="s">
        <v>90</v>
      </c>
      <c r="P10" s="16"/>
    </row>
    <row r="11" spans="1:16" ht="25" x14ac:dyDescent="0.35">
      <c r="A11" s="15" t="s">
        <v>91</v>
      </c>
      <c r="B11" s="16" t="s">
        <v>23</v>
      </c>
      <c r="C11" s="16" t="s">
        <v>92</v>
      </c>
      <c r="D11" s="16" t="s">
        <v>93</v>
      </c>
      <c r="E11" s="16" t="s">
        <v>94</v>
      </c>
      <c r="F11" s="16" t="s">
        <v>95</v>
      </c>
      <c r="G11" s="16" t="s">
        <v>96</v>
      </c>
      <c r="H11" s="15" t="s">
        <v>49</v>
      </c>
      <c r="I11" s="17" t="s">
        <v>8</v>
      </c>
      <c r="J11" s="18">
        <v>1</v>
      </c>
      <c r="K11" s="15" t="s">
        <v>50</v>
      </c>
      <c r="L11" s="16"/>
      <c r="M11" s="17"/>
      <c r="N11" s="19">
        <v>46323</v>
      </c>
      <c r="O11" s="16" t="s">
        <v>97</v>
      </c>
      <c r="P11" s="16"/>
    </row>
    <row r="12" spans="1:16" ht="25" x14ac:dyDescent="0.35">
      <c r="A12" s="15" t="s">
        <v>98</v>
      </c>
      <c r="B12" s="16" t="s">
        <v>23</v>
      </c>
      <c r="C12" s="16" t="s">
        <v>71</v>
      </c>
      <c r="D12" s="16" t="s">
        <v>99</v>
      </c>
      <c r="E12" s="16" t="s">
        <v>100</v>
      </c>
      <c r="F12" s="16" t="s">
        <v>101</v>
      </c>
      <c r="G12" s="16" t="s">
        <v>102</v>
      </c>
      <c r="H12" s="15" t="s">
        <v>49</v>
      </c>
      <c r="I12" s="17" t="s">
        <v>8</v>
      </c>
      <c r="J12" s="18">
        <v>1</v>
      </c>
      <c r="K12" s="15" t="s">
        <v>50</v>
      </c>
      <c r="L12" s="16"/>
      <c r="M12" s="17"/>
      <c r="N12" s="19">
        <v>46323</v>
      </c>
      <c r="O12" s="16" t="s">
        <v>103</v>
      </c>
      <c r="P12" s="16"/>
    </row>
    <row r="13" spans="1:16" ht="25" x14ac:dyDescent="0.35">
      <c r="A13" s="15" t="s">
        <v>104</v>
      </c>
      <c r="B13" s="16" t="s">
        <v>23</v>
      </c>
      <c r="C13" s="16" t="s">
        <v>71</v>
      </c>
      <c r="D13" s="16" t="s">
        <v>105</v>
      </c>
      <c r="E13" s="16" t="s">
        <v>106</v>
      </c>
      <c r="F13" s="16" t="s">
        <v>107</v>
      </c>
      <c r="G13" s="16" t="s">
        <v>108</v>
      </c>
      <c r="H13" s="15" t="s">
        <v>49</v>
      </c>
      <c r="I13" s="17" t="s">
        <v>8</v>
      </c>
      <c r="J13" s="18">
        <v>1</v>
      </c>
      <c r="K13" s="15" t="s">
        <v>50</v>
      </c>
      <c r="L13" s="16"/>
      <c r="M13" s="17"/>
      <c r="N13" s="19">
        <v>46323</v>
      </c>
      <c r="O13" s="16" t="s">
        <v>109</v>
      </c>
      <c r="P13" s="16"/>
    </row>
    <row r="14" spans="1:16" ht="25" x14ac:dyDescent="0.35">
      <c r="A14" s="15" t="s">
        <v>110</v>
      </c>
      <c r="B14" s="16" t="s">
        <v>23</v>
      </c>
      <c r="C14" s="16" t="s">
        <v>71</v>
      </c>
      <c r="D14" s="16" t="s">
        <v>111</v>
      </c>
      <c r="E14" s="16" t="s">
        <v>112</v>
      </c>
      <c r="F14" s="16" t="s">
        <v>113</v>
      </c>
      <c r="G14" s="16" t="s">
        <v>114</v>
      </c>
      <c r="H14" s="15" t="s">
        <v>49</v>
      </c>
      <c r="I14" s="17" t="s">
        <v>8</v>
      </c>
      <c r="J14" s="18">
        <v>1</v>
      </c>
      <c r="K14" s="15" t="s">
        <v>50</v>
      </c>
      <c r="L14" s="16"/>
      <c r="M14" s="17"/>
      <c r="N14" s="19">
        <v>46323</v>
      </c>
      <c r="O14" s="16" t="s">
        <v>115</v>
      </c>
      <c r="P14" s="16"/>
    </row>
    <row r="15" spans="1:16" ht="25" x14ac:dyDescent="0.35">
      <c r="A15" s="15" t="s">
        <v>116</v>
      </c>
      <c r="B15" s="16" t="s">
        <v>23</v>
      </c>
      <c r="C15" s="16" t="s">
        <v>71</v>
      </c>
      <c r="D15" s="16" t="s">
        <v>117</v>
      </c>
      <c r="E15" s="16" t="s">
        <v>118</v>
      </c>
      <c r="F15" s="16" t="s">
        <v>119</v>
      </c>
      <c r="G15" s="16" t="s">
        <v>120</v>
      </c>
      <c r="H15" s="15" t="s">
        <v>49</v>
      </c>
      <c r="I15" s="17" t="s">
        <v>8</v>
      </c>
      <c r="J15" s="18">
        <v>1</v>
      </c>
      <c r="K15" s="15" t="s">
        <v>50</v>
      </c>
      <c r="L15" s="16"/>
      <c r="M15" s="17"/>
      <c r="N15" s="19">
        <v>46323</v>
      </c>
      <c r="O15" s="16" t="s">
        <v>121</v>
      </c>
      <c r="P15" s="16"/>
    </row>
    <row r="16" spans="1:16" ht="25" x14ac:dyDescent="0.35">
      <c r="A16" s="15" t="s">
        <v>122</v>
      </c>
      <c r="B16" s="16" t="s">
        <v>23</v>
      </c>
      <c r="C16" s="16" t="s">
        <v>123</v>
      </c>
      <c r="D16" s="16" t="s">
        <v>124</v>
      </c>
      <c r="E16" s="16" t="s">
        <v>125</v>
      </c>
      <c r="F16" s="16" t="s">
        <v>126</v>
      </c>
      <c r="G16" s="16" t="s">
        <v>127</v>
      </c>
      <c r="H16" s="15" t="s">
        <v>49</v>
      </c>
      <c r="I16" s="17" t="s">
        <v>8</v>
      </c>
      <c r="J16" s="18">
        <v>1</v>
      </c>
      <c r="K16" s="15" t="s">
        <v>50</v>
      </c>
      <c r="L16" s="16"/>
      <c r="M16" s="17"/>
      <c r="N16" s="19">
        <v>46323</v>
      </c>
      <c r="O16" s="16" t="s">
        <v>128</v>
      </c>
      <c r="P16" s="16"/>
    </row>
    <row r="17" spans="1:16" ht="25" x14ac:dyDescent="0.35">
      <c r="A17" s="15" t="s">
        <v>129</v>
      </c>
      <c r="B17" s="16" t="s">
        <v>23</v>
      </c>
      <c r="C17" s="16" t="s">
        <v>130</v>
      </c>
      <c r="D17" s="16" t="s">
        <v>131</v>
      </c>
      <c r="E17" s="16" t="s">
        <v>132</v>
      </c>
      <c r="F17" s="16" t="s">
        <v>133</v>
      </c>
      <c r="G17" s="16" t="s">
        <v>134</v>
      </c>
      <c r="H17" s="15" t="s">
        <v>49</v>
      </c>
      <c r="I17" s="17" t="s">
        <v>8</v>
      </c>
      <c r="J17" s="18">
        <v>1</v>
      </c>
      <c r="K17" s="15" t="s">
        <v>50</v>
      </c>
      <c r="L17" s="16"/>
      <c r="M17" s="17"/>
      <c r="N17" s="19">
        <v>46323</v>
      </c>
      <c r="O17" s="16" t="s">
        <v>135</v>
      </c>
      <c r="P17" s="16"/>
    </row>
    <row r="18" spans="1:16" ht="37.5" x14ac:dyDescent="0.35">
      <c r="A18" s="15" t="s">
        <v>136</v>
      </c>
      <c r="B18" s="16" t="s">
        <v>23</v>
      </c>
      <c r="C18" s="16" t="s">
        <v>137</v>
      </c>
      <c r="D18" s="16" t="s">
        <v>138</v>
      </c>
      <c r="E18" s="16" t="s">
        <v>139</v>
      </c>
      <c r="F18" s="16" t="s">
        <v>140</v>
      </c>
      <c r="G18" s="16" t="s">
        <v>141</v>
      </c>
      <c r="H18" s="15" t="s">
        <v>49</v>
      </c>
      <c r="I18" s="17" t="s">
        <v>8</v>
      </c>
      <c r="J18" s="18">
        <v>1</v>
      </c>
      <c r="K18" s="15" t="s">
        <v>50</v>
      </c>
      <c r="L18" s="16"/>
      <c r="M18" s="17"/>
      <c r="N18" s="19">
        <v>46323</v>
      </c>
      <c r="O18" s="16" t="s">
        <v>142</v>
      </c>
      <c r="P18" s="16" t="s">
        <v>143</v>
      </c>
    </row>
    <row r="19" spans="1:16" ht="25" x14ac:dyDescent="0.35">
      <c r="A19" s="15" t="s">
        <v>144</v>
      </c>
      <c r="B19" s="16" t="s">
        <v>23</v>
      </c>
      <c r="C19" s="16" t="s">
        <v>137</v>
      </c>
      <c r="D19" s="16" t="s">
        <v>145</v>
      </c>
      <c r="E19" s="16" t="s">
        <v>146</v>
      </c>
      <c r="F19" s="16" t="s">
        <v>147</v>
      </c>
      <c r="G19" s="16" t="s">
        <v>141</v>
      </c>
      <c r="H19" s="15" t="s">
        <v>49</v>
      </c>
      <c r="I19" s="17" t="s">
        <v>8</v>
      </c>
      <c r="J19" s="18">
        <v>1</v>
      </c>
      <c r="K19" s="15" t="s">
        <v>50</v>
      </c>
      <c r="L19" s="16"/>
      <c r="M19" s="17"/>
      <c r="N19" s="19">
        <v>46323</v>
      </c>
      <c r="O19" s="16" t="s">
        <v>148</v>
      </c>
      <c r="P19" s="16" t="s">
        <v>149</v>
      </c>
    </row>
    <row r="20" spans="1:16" ht="37.5" x14ac:dyDescent="0.35">
      <c r="A20" s="15" t="s">
        <v>150</v>
      </c>
      <c r="B20" s="16" t="s">
        <v>23</v>
      </c>
      <c r="C20" s="16" t="s">
        <v>130</v>
      </c>
      <c r="D20" s="16" t="s">
        <v>151</v>
      </c>
      <c r="E20" s="16" t="s">
        <v>152</v>
      </c>
      <c r="F20" s="16" t="s">
        <v>153</v>
      </c>
      <c r="G20" s="16" t="s">
        <v>154</v>
      </c>
      <c r="H20" s="15" t="s">
        <v>49</v>
      </c>
      <c r="I20" s="17" t="s">
        <v>8</v>
      </c>
      <c r="J20" s="18">
        <v>1</v>
      </c>
      <c r="K20" s="15" t="s">
        <v>50</v>
      </c>
      <c r="L20" s="16"/>
      <c r="M20" s="17"/>
      <c r="N20" s="19">
        <v>46323</v>
      </c>
      <c r="O20" s="16" t="s">
        <v>155</v>
      </c>
      <c r="P20" s="16" t="s">
        <v>156</v>
      </c>
    </row>
    <row r="21" spans="1:16" ht="62.5" x14ac:dyDescent="0.35">
      <c r="A21" s="15" t="s">
        <v>157</v>
      </c>
      <c r="B21" s="16" t="s">
        <v>23</v>
      </c>
      <c r="C21" s="16" t="s">
        <v>158</v>
      </c>
      <c r="D21" s="16" t="s">
        <v>159</v>
      </c>
      <c r="E21" s="16" t="s">
        <v>160</v>
      </c>
      <c r="F21" s="16" t="s">
        <v>161</v>
      </c>
      <c r="G21" s="16" t="s">
        <v>162</v>
      </c>
      <c r="H21" s="15" t="s">
        <v>49</v>
      </c>
      <c r="I21" s="17" t="s">
        <v>8</v>
      </c>
      <c r="J21" s="18">
        <v>1</v>
      </c>
      <c r="K21" s="15" t="s">
        <v>50</v>
      </c>
      <c r="L21" s="16"/>
      <c r="M21" s="17"/>
      <c r="N21" s="19">
        <v>46323</v>
      </c>
      <c r="O21" s="16" t="s">
        <v>163</v>
      </c>
      <c r="P21" s="16" t="s">
        <v>164</v>
      </c>
    </row>
    <row r="22" spans="1:16" ht="50" x14ac:dyDescent="0.35">
      <c r="A22" s="15" t="s">
        <v>165</v>
      </c>
      <c r="B22" s="16" t="s">
        <v>23</v>
      </c>
      <c r="C22" s="16" t="s">
        <v>158</v>
      </c>
      <c r="D22" s="16" t="s">
        <v>166</v>
      </c>
      <c r="E22" s="16" t="s">
        <v>167</v>
      </c>
      <c r="F22" s="16" t="s">
        <v>168</v>
      </c>
      <c r="G22" s="16" t="s">
        <v>169</v>
      </c>
      <c r="H22" s="15" t="s">
        <v>49</v>
      </c>
      <c r="I22" s="17" t="s">
        <v>8</v>
      </c>
      <c r="J22" s="18">
        <v>1</v>
      </c>
      <c r="K22" s="15" t="s">
        <v>50</v>
      </c>
      <c r="L22" s="16"/>
      <c r="M22" s="17"/>
      <c r="N22" s="19">
        <v>46323</v>
      </c>
      <c r="O22" s="16" t="s">
        <v>170</v>
      </c>
      <c r="P22" s="16"/>
    </row>
    <row r="23" spans="1:16" ht="87.5" x14ac:dyDescent="0.35">
      <c r="A23" s="15" t="s">
        <v>171</v>
      </c>
      <c r="B23" s="16" t="s">
        <v>23</v>
      </c>
      <c r="C23" s="16" t="s">
        <v>172</v>
      </c>
      <c r="D23" s="16" t="s">
        <v>173</v>
      </c>
      <c r="E23" s="16" t="s">
        <v>174</v>
      </c>
      <c r="F23" s="16" t="s">
        <v>175</v>
      </c>
      <c r="G23" s="16" t="s">
        <v>176</v>
      </c>
      <c r="H23" s="15" t="s">
        <v>49</v>
      </c>
      <c r="I23" s="17" t="s">
        <v>8</v>
      </c>
      <c r="J23" s="18">
        <v>1</v>
      </c>
      <c r="K23" s="15" t="s">
        <v>50</v>
      </c>
      <c r="L23" s="16"/>
      <c r="M23" s="17"/>
      <c r="N23" s="19">
        <v>46323</v>
      </c>
      <c r="O23" s="16" t="s">
        <v>177</v>
      </c>
      <c r="P23" s="16" t="s">
        <v>178</v>
      </c>
    </row>
    <row r="24" spans="1:16" ht="62.5" x14ac:dyDescent="0.35">
      <c r="A24" s="15" t="s">
        <v>179</v>
      </c>
      <c r="B24" s="16" t="s">
        <v>23</v>
      </c>
      <c r="C24" s="16" t="s">
        <v>180</v>
      </c>
      <c r="D24" s="16" t="s">
        <v>181</v>
      </c>
      <c r="E24" s="16" t="s">
        <v>182</v>
      </c>
      <c r="F24" s="16" t="s">
        <v>183</v>
      </c>
      <c r="G24" s="16" t="s">
        <v>184</v>
      </c>
      <c r="H24" s="15" t="s">
        <v>49</v>
      </c>
      <c r="I24" s="17" t="s">
        <v>8</v>
      </c>
      <c r="J24" s="18">
        <v>1</v>
      </c>
      <c r="K24" s="15" t="s">
        <v>50</v>
      </c>
      <c r="L24" s="16"/>
      <c r="M24" s="17"/>
      <c r="N24" s="19">
        <v>46323</v>
      </c>
      <c r="O24" s="16" t="s">
        <v>185</v>
      </c>
      <c r="P24" s="16" t="s">
        <v>186</v>
      </c>
    </row>
    <row r="25" spans="1:16" ht="150" x14ac:dyDescent="0.35">
      <c r="A25" s="15" t="s">
        <v>187</v>
      </c>
      <c r="B25" s="16" t="s">
        <v>23</v>
      </c>
      <c r="C25" s="16" t="s">
        <v>172</v>
      </c>
      <c r="D25" s="16" t="s">
        <v>188</v>
      </c>
      <c r="E25" s="16" t="s">
        <v>189</v>
      </c>
      <c r="F25" s="16" t="s">
        <v>190</v>
      </c>
      <c r="G25" s="16" t="s">
        <v>191</v>
      </c>
      <c r="H25" s="15" t="s">
        <v>49</v>
      </c>
      <c r="I25" s="17" t="s">
        <v>8</v>
      </c>
      <c r="J25" s="18">
        <v>1</v>
      </c>
      <c r="K25" s="15" t="s">
        <v>50</v>
      </c>
      <c r="L25" s="16"/>
      <c r="M25" s="17"/>
      <c r="N25" s="19">
        <v>46323</v>
      </c>
      <c r="O25" s="16" t="s">
        <v>192</v>
      </c>
      <c r="P25" s="16" t="s">
        <v>193</v>
      </c>
    </row>
    <row r="26" spans="1:16" ht="125" x14ac:dyDescent="0.35">
      <c r="A26" s="15" t="s">
        <v>194</v>
      </c>
      <c r="B26" s="16" t="s">
        <v>23</v>
      </c>
      <c r="C26" s="16" t="s">
        <v>172</v>
      </c>
      <c r="D26" s="16" t="s">
        <v>195</v>
      </c>
      <c r="E26" s="16" t="s">
        <v>196</v>
      </c>
      <c r="F26" s="16" t="s">
        <v>197</v>
      </c>
      <c r="G26" s="16" t="s">
        <v>198</v>
      </c>
      <c r="H26" s="15" t="s">
        <v>49</v>
      </c>
      <c r="I26" s="17" t="s">
        <v>8</v>
      </c>
      <c r="J26" s="18">
        <v>1</v>
      </c>
      <c r="K26" s="15" t="s">
        <v>50</v>
      </c>
      <c r="L26" s="16"/>
      <c r="M26" s="17"/>
      <c r="N26" s="19">
        <v>46323</v>
      </c>
      <c r="O26" s="16" t="s">
        <v>199</v>
      </c>
      <c r="P26" s="16" t="s">
        <v>200</v>
      </c>
    </row>
    <row r="27" spans="1:16" ht="100" x14ac:dyDescent="0.35">
      <c r="A27" s="15" t="s">
        <v>201</v>
      </c>
      <c r="B27" s="16" t="s">
        <v>23</v>
      </c>
      <c r="C27" s="16" t="s">
        <v>172</v>
      </c>
      <c r="D27" s="16" t="s">
        <v>202</v>
      </c>
      <c r="E27" s="16" t="s">
        <v>203</v>
      </c>
      <c r="F27" s="16" t="s">
        <v>204</v>
      </c>
      <c r="G27" s="16" t="s">
        <v>205</v>
      </c>
      <c r="H27" s="15" t="s">
        <v>49</v>
      </c>
      <c r="I27" s="17" t="s">
        <v>8</v>
      </c>
      <c r="J27" s="18">
        <v>1</v>
      </c>
      <c r="K27" s="15" t="s">
        <v>50</v>
      </c>
      <c r="L27" s="16"/>
      <c r="M27" s="17"/>
      <c r="N27" s="19">
        <v>46323</v>
      </c>
      <c r="O27" s="16" t="s">
        <v>206</v>
      </c>
      <c r="P27" s="16" t="s">
        <v>207</v>
      </c>
    </row>
    <row r="28" spans="1:16" ht="112.5" x14ac:dyDescent="0.35">
      <c r="A28" s="15" t="s">
        <v>208</v>
      </c>
      <c r="B28" s="16" t="s">
        <v>23</v>
      </c>
      <c r="C28" s="16" t="s">
        <v>172</v>
      </c>
      <c r="D28" s="16" t="s">
        <v>209</v>
      </c>
      <c r="E28" s="16" t="s">
        <v>210</v>
      </c>
      <c r="F28" s="16" t="s">
        <v>211</v>
      </c>
      <c r="G28" s="16" t="s">
        <v>212</v>
      </c>
      <c r="H28" s="15" t="s">
        <v>49</v>
      </c>
      <c r="I28" s="17" t="s">
        <v>8</v>
      </c>
      <c r="J28" s="18">
        <v>1</v>
      </c>
      <c r="K28" s="15" t="s">
        <v>50</v>
      </c>
      <c r="L28" s="16"/>
      <c r="M28" s="17"/>
      <c r="N28" s="19">
        <v>46323</v>
      </c>
      <c r="O28" s="16" t="s">
        <v>213</v>
      </c>
      <c r="P28" s="16" t="s">
        <v>214</v>
      </c>
    </row>
    <row r="29" spans="1:16" ht="100" x14ac:dyDescent="0.35">
      <c r="A29" s="15" t="s">
        <v>215</v>
      </c>
      <c r="B29" s="16" t="s">
        <v>23</v>
      </c>
      <c r="C29" s="16" t="s">
        <v>137</v>
      </c>
      <c r="D29" s="16" t="s">
        <v>216</v>
      </c>
      <c r="E29" s="16" t="s">
        <v>217</v>
      </c>
      <c r="F29" s="16" t="s">
        <v>147</v>
      </c>
      <c r="G29" s="16" t="s">
        <v>218</v>
      </c>
      <c r="H29" s="15" t="s">
        <v>49</v>
      </c>
      <c r="I29" s="17" t="s">
        <v>8</v>
      </c>
      <c r="J29" s="18">
        <v>1</v>
      </c>
      <c r="K29" s="15" t="s">
        <v>50</v>
      </c>
      <c r="L29" s="16"/>
      <c r="M29" s="17"/>
      <c r="N29" s="19">
        <v>46323</v>
      </c>
      <c r="O29" s="16" t="s">
        <v>219</v>
      </c>
      <c r="P29" s="16" t="s">
        <v>220</v>
      </c>
    </row>
    <row r="30" spans="1:16" ht="162.5" x14ac:dyDescent="0.35">
      <c r="A30" s="15" t="s">
        <v>221</v>
      </c>
      <c r="B30" s="16" t="s">
        <v>23</v>
      </c>
      <c r="C30" s="16" t="s">
        <v>85</v>
      </c>
      <c r="D30" s="16" t="s">
        <v>222</v>
      </c>
      <c r="E30" s="16" t="s">
        <v>223</v>
      </c>
      <c r="F30" s="16" t="s">
        <v>224</v>
      </c>
      <c r="G30" s="16" t="s">
        <v>225</v>
      </c>
      <c r="H30" s="15" t="s">
        <v>49</v>
      </c>
      <c r="I30" s="17" t="s">
        <v>8</v>
      </c>
      <c r="J30" s="18">
        <v>1</v>
      </c>
      <c r="K30" s="15" t="s">
        <v>50</v>
      </c>
      <c r="L30" s="16"/>
      <c r="M30" s="17"/>
      <c r="N30" s="19">
        <v>46323</v>
      </c>
      <c r="O30" s="16" t="s">
        <v>226</v>
      </c>
      <c r="P30" s="16" t="s">
        <v>227</v>
      </c>
    </row>
    <row r="31" spans="1:16" ht="137.5" x14ac:dyDescent="0.35">
      <c r="A31" s="15" t="s">
        <v>228</v>
      </c>
      <c r="B31" s="16" t="s">
        <v>23</v>
      </c>
      <c r="C31" s="16" t="s">
        <v>85</v>
      </c>
      <c r="D31" s="16" t="s">
        <v>229</v>
      </c>
      <c r="E31" s="16" t="s">
        <v>230</v>
      </c>
      <c r="F31" s="16" t="s">
        <v>231</v>
      </c>
      <c r="G31" s="16" t="s">
        <v>232</v>
      </c>
      <c r="H31" s="15" t="s">
        <v>49</v>
      </c>
      <c r="I31" s="17" t="s">
        <v>8</v>
      </c>
      <c r="J31" s="18">
        <v>1</v>
      </c>
      <c r="K31" s="15" t="s">
        <v>50</v>
      </c>
      <c r="L31" s="16"/>
      <c r="M31" s="17"/>
      <c r="N31" s="19">
        <v>46323</v>
      </c>
      <c r="O31" s="16" t="s">
        <v>233</v>
      </c>
      <c r="P31" s="16" t="s">
        <v>234</v>
      </c>
    </row>
    <row r="32" spans="1:16" ht="250" x14ac:dyDescent="0.35">
      <c r="A32" s="15" t="s">
        <v>235</v>
      </c>
      <c r="B32" s="16" t="s">
        <v>23</v>
      </c>
      <c r="C32" s="16" t="s">
        <v>85</v>
      </c>
      <c r="D32" s="16" t="s">
        <v>236</v>
      </c>
      <c r="E32" s="16" t="s">
        <v>237</v>
      </c>
      <c r="F32" s="16" t="s">
        <v>238</v>
      </c>
      <c r="G32" s="16" t="s">
        <v>239</v>
      </c>
      <c r="H32" s="15" t="s">
        <v>49</v>
      </c>
      <c r="I32" s="17" t="s">
        <v>8</v>
      </c>
      <c r="J32" s="18">
        <v>1</v>
      </c>
      <c r="K32" s="15" t="s">
        <v>50</v>
      </c>
      <c r="L32" s="16"/>
      <c r="M32" s="17"/>
      <c r="N32" s="19">
        <v>46323</v>
      </c>
      <c r="O32" s="16" t="s">
        <v>240</v>
      </c>
      <c r="P32" s="16" t="s">
        <v>241</v>
      </c>
    </row>
    <row r="33" spans="1:16" ht="187.5" x14ac:dyDescent="0.35">
      <c r="A33" s="15" t="s">
        <v>242</v>
      </c>
      <c r="B33" s="16" t="s">
        <v>23</v>
      </c>
      <c r="C33" s="16" t="s">
        <v>71</v>
      </c>
      <c r="D33" s="16" t="s">
        <v>243</v>
      </c>
      <c r="E33" s="16" t="s">
        <v>244</v>
      </c>
      <c r="F33" s="16" t="s">
        <v>245</v>
      </c>
      <c r="G33" s="16" t="s">
        <v>246</v>
      </c>
      <c r="H33" s="15" t="s">
        <v>49</v>
      </c>
      <c r="I33" s="17" t="s">
        <v>8</v>
      </c>
      <c r="J33" s="18">
        <v>1</v>
      </c>
      <c r="K33" s="15" t="s">
        <v>50</v>
      </c>
      <c r="L33" s="16"/>
      <c r="M33" s="17"/>
      <c r="N33" s="19">
        <v>46323</v>
      </c>
      <c r="O33" s="16" t="s">
        <v>247</v>
      </c>
      <c r="P33" s="16" t="s">
        <v>248</v>
      </c>
    </row>
    <row r="34" spans="1:16" ht="62.5" x14ac:dyDescent="0.35">
      <c r="A34" s="15" t="s">
        <v>249</v>
      </c>
      <c r="B34" s="16" t="s">
        <v>23</v>
      </c>
      <c r="C34" s="16" t="s">
        <v>172</v>
      </c>
      <c r="D34" s="16" t="s">
        <v>250</v>
      </c>
      <c r="E34" s="16" t="s">
        <v>251</v>
      </c>
      <c r="F34" s="16" t="s">
        <v>252</v>
      </c>
      <c r="G34" s="16" t="s">
        <v>253</v>
      </c>
      <c r="H34" s="15" t="s">
        <v>49</v>
      </c>
      <c r="I34" s="17" t="s">
        <v>8</v>
      </c>
      <c r="J34" s="18">
        <v>1</v>
      </c>
      <c r="K34" s="15" t="s">
        <v>50</v>
      </c>
      <c r="L34" s="16"/>
      <c r="M34" s="17"/>
      <c r="N34" s="19">
        <v>46323</v>
      </c>
      <c r="O34" s="16" t="s">
        <v>254</v>
      </c>
      <c r="P34" s="16" t="s">
        <v>255</v>
      </c>
    </row>
    <row r="35" spans="1:16" ht="62.5" x14ac:dyDescent="0.35">
      <c r="A35" s="15" t="s">
        <v>256</v>
      </c>
      <c r="B35" s="16" t="s">
        <v>23</v>
      </c>
      <c r="C35" s="16" t="s">
        <v>130</v>
      </c>
      <c r="D35" s="16" t="s">
        <v>257</v>
      </c>
      <c r="E35" s="16" t="s">
        <v>258</v>
      </c>
      <c r="F35" s="16" t="s">
        <v>259</v>
      </c>
      <c r="G35" s="16" t="s">
        <v>260</v>
      </c>
      <c r="H35" s="15" t="s">
        <v>49</v>
      </c>
      <c r="I35" s="17" t="s">
        <v>8</v>
      </c>
      <c r="J35" s="18">
        <v>1</v>
      </c>
      <c r="K35" s="15" t="s">
        <v>50</v>
      </c>
      <c r="L35" s="16"/>
      <c r="M35" s="17"/>
      <c r="N35" s="19">
        <v>46323</v>
      </c>
      <c r="O35" s="16" t="s">
        <v>261</v>
      </c>
      <c r="P35" s="16" t="s">
        <v>262</v>
      </c>
    </row>
    <row r="36" spans="1:16" ht="37.5" x14ac:dyDescent="0.35">
      <c r="A36" s="15" t="s">
        <v>263</v>
      </c>
      <c r="B36" s="16" t="s">
        <v>23</v>
      </c>
      <c r="C36" s="16" t="s">
        <v>130</v>
      </c>
      <c r="D36" s="16" t="s">
        <v>264</v>
      </c>
      <c r="E36" s="16" t="s">
        <v>265</v>
      </c>
      <c r="F36" s="16" t="s">
        <v>266</v>
      </c>
      <c r="G36" s="16" t="s">
        <v>267</v>
      </c>
      <c r="H36" s="15" t="s">
        <v>49</v>
      </c>
      <c r="I36" s="17" t="s">
        <v>8</v>
      </c>
      <c r="J36" s="18">
        <v>1</v>
      </c>
      <c r="K36" s="15" t="s">
        <v>50</v>
      </c>
      <c r="L36" s="16"/>
      <c r="M36" s="17"/>
      <c r="N36" s="19">
        <v>46323</v>
      </c>
      <c r="O36" s="16" t="s">
        <v>268</v>
      </c>
      <c r="P36" s="16"/>
    </row>
    <row r="37" spans="1:16" ht="62.5" x14ac:dyDescent="0.35">
      <c r="A37" s="15" t="s">
        <v>269</v>
      </c>
      <c r="B37" s="16" t="s">
        <v>23</v>
      </c>
      <c r="C37" s="16" t="s">
        <v>180</v>
      </c>
      <c r="D37" s="16" t="s">
        <v>270</v>
      </c>
      <c r="E37" s="16" t="s">
        <v>271</v>
      </c>
      <c r="F37" s="16" t="s">
        <v>272</v>
      </c>
      <c r="G37" s="16" t="s">
        <v>273</v>
      </c>
      <c r="H37" s="15" t="s">
        <v>49</v>
      </c>
      <c r="I37" s="17" t="s">
        <v>8</v>
      </c>
      <c r="J37" s="18">
        <v>1</v>
      </c>
      <c r="K37" s="15" t="s">
        <v>50</v>
      </c>
      <c r="L37" s="16"/>
      <c r="M37" s="17"/>
      <c r="N37" s="19">
        <v>46323</v>
      </c>
      <c r="O37" s="16" t="s">
        <v>274</v>
      </c>
      <c r="P37" s="16" t="s">
        <v>275</v>
      </c>
    </row>
    <row r="38" spans="1:16" ht="50" x14ac:dyDescent="0.35">
      <c r="A38" s="15" t="s">
        <v>276</v>
      </c>
      <c r="B38" s="16" t="s">
        <v>23</v>
      </c>
      <c r="C38" s="16" t="s">
        <v>172</v>
      </c>
      <c r="D38" s="16" t="s">
        <v>277</v>
      </c>
      <c r="E38" s="16" t="s">
        <v>278</v>
      </c>
      <c r="F38" s="16" t="s">
        <v>279</v>
      </c>
      <c r="G38" s="16" t="s">
        <v>280</v>
      </c>
      <c r="H38" s="15" t="s">
        <v>49</v>
      </c>
      <c r="I38" s="17" t="s">
        <v>8</v>
      </c>
      <c r="J38" s="18">
        <v>1</v>
      </c>
      <c r="K38" s="15" t="s">
        <v>50</v>
      </c>
      <c r="L38" s="16"/>
      <c r="M38" s="17"/>
      <c r="N38" s="19">
        <v>46323</v>
      </c>
      <c r="O38" s="16" t="s">
        <v>281</v>
      </c>
      <c r="P38" s="16" t="s">
        <v>282</v>
      </c>
    </row>
    <row r="39" spans="1:16" ht="50" x14ac:dyDescent="0.35">
      <c r="A39" s="15" t="s">
        <v>283</v>
      </c>
      <c r="B39" s="16" t="s">
        <v>23</v>
      </c>
      <c r="C39" s="16" t="s">
        <v>71</v>
      </c>
      <c r="D39" s="16" t="s">
        <v>284</v>
      </c>
      <c r="E39" s="16" t="s">
        <v>285</v>
      </c>
      <c r="F39" s="16" t="s">
        <v>113</v>
      </c>
      <c r="G39" s="16" t="s">
        <v>286</v>
      </c>
      <c r="H39" s="15" t="s">
        <v>49</v>
      </c>
      <c r="I39" s="17" t="s">
        <v>8</v>
      </c>
      <c r="J39" s="18">
        <v>1</v>
      </c>
      <c r="K39" s="15" t="s">
        <v>50</v>
      </c>
      <c r="L39" s="16"/>
      <c r="M39" s="17"/>
      <c r="N39" s="19">
        <v>46323</v>
      </c>
      <c r="O39" s="16" t="s">
        <v>287</v>
      </c>
      <c r="P39" s="16" t="s">
        <v>288</v>
      </c>
    </row>
    <row r="40" spans="1:16" ht="112.5" x14ac:dyDescent="0.35">
      <c r="A40" s="15" t="s">
        <v>289</v>
      </c>
      <c r="B40" s="16" t="s">
        <v>23</v>
      </c>
      <c r="C40" s="16" t="s">
        <v>180</v>
      </c>
      <c r="D40" s="16" t="s">
        <v>290</v>
      </c>
      <c r="E40" s="16" t="s">
        <v>291</v>
      </c>
      <c r="F40" s="16" t="s">
        <v>292</v>
      </c>
      <c r="G40" s="16" t="s">
        <v>293</v>
      </c>
      <c r="H40" s="15" t="s">
        <v>49</v>
      </c>
      <c r="I40" s="17" t="s">
        <v>8</v>
      </c>
      <c r="J40" s="18">
        <v>1</v>
      </c>
      <c r="K40" s="15" t="s">
        <v>50</v>
      </c>
      <c r="L40" s="16"/>
      <c r="M40" s="17"/>
      <c r="N40" s="19">
        <v>46323</v>
      </c>
      <c r="O40" s="16" t="s">
        <v>294</v>
      </c>
      <c r="P40" s="16" t="s">
        <v>295</v>
      </c>
    </row>
    <row r="41" spans="1:16" ht="100" x14ac:dyDescent="0.35">
      <c r="A41" s="15" t="s">
        <v>296</v>
      </c>
      <c r="B41" s="16" t="s">
        <v>23</v>
      </c>
      <c r="C41" s="16" t="s">
        <v>180</v>
      </c>
      <c r="D41" s="16" t="s">
        <v>297</v>
      </c>
      <c r="E41" s="16" t="s">
        <v>298</v>
      </c>
      <c r="F41" s="16" t="s">
        <v>299</v>
      </c>
      <c r="G41" s="16" t="s">
        <v>300</v>
      </c>
      <c r="H41" s="15" t="s">
        <v>49</v>
      </c>
      <c r="I41" s="17" t="s">
        <v>8</v>
      </c>
      <c r="J41" s="18">
        <v>1</v>
      </c>
      <c r="K41" s="15" t="s">
        <v>50</v>
      </c>
      <c r="L41" s="16"/>
      <c r="M41" s="17"/>
      <c r="N41" s="19">
        <v>46323</v>
      </c>
      <c r="O41" s="16" t="s">
        <v>301</v>
      </c>
      <c r="P41" s="16" t="s">
        <v>302</v>
      </c>
    </row>
    <row r="42" spans="1:16" ht="162.5" x14ac:dyDescent="0.35">
      <c r="A42" s="15" t="s">
        <v>303</v>
      </c>
      <c r="B42" s="16" t="s">
        <v>23</v>
      </c>
      <c r="C42" s="16" t="s">
        <v>137</v>
      </c>
      <c r="D42" s="16" t="s">
        <v>304</v>
      </c>
      <c r="E42" s="16" t="s">
        <v>305</v>
      </c>
      <c r="F42" s="16" t="s">
        <v>306</v>
      </c>
      <c r="G42" s="16" t="s">
        <v>307</v>
      </c>
      <c r="H42" s="15" t="s">
        <v>49</v>
      </c>
      <c r="I42" s="17" t="s">
        <v>8</v>
      </c>
      <c r="J42" s="18">
        <v>1</v>
      </c>
      <c r="K42" s="15" t="s">
        <v>50</v>
      </c>
      <c r="L42" s="16"/>
      <c r="M42" s="17"/>
      <c r="N42" s="19">
        <v>46323</v>
      </c>
      <c r="O42" s="16" t="s">
        <v>308</v>
      </c>
      <c r="P42" s="16" t="s">
        <v>309</v>
      </c>
    </row>
    <row r="43" spans="1:16" ht="75" x14ac:dyDescent="0.35">
      <c r="A43" s="15" t="s">
        <v>310</v>
      </c>
      <c r="B43" s="16" t="s">
        <v>23</v>
      </c>
      <c r="C43" s="16" t="s">
        <v>311</v>
      </c>
      <c r="D43" s="16" t="s">
        <v>312</v>
      </c>
      <c r="E43" s="16" t="s">
        <v>313</v>
      </c>
      <c r="F43" s="16" t="s">
        <v>47</v>
      </c>
      <c r="G43" s="16" t="s">
        <v>314</v>
      </c>
      <c r="H43" s="15" t="s">
        <v>49</v>
      </c>
      <c r="I43" s="17" t="s">
        <v>8</v>
      </c>
      <c r="J43" s="18">
        <v>1</v>
      </c>
      <c r="K43" s="15" t="s">
        <v>50</v>
      </c>
      <c r="L43" s="16"/>
      <c r="M43" s="17"/>
      <c r="N43" s="19">
        <v>46323</v>
      </c>
      <c r="O43" s="16" t="s">
        <v>315</v>
      </c>
      <c r="P43" s="16" t="s">
        <v>316</v>
      </c>
    </row>
    <row r="44" spans="1:16" ht="137.5" x14ac:dyDescent="0.35">
      <c r="A44" s="15" t="s">
        <v>317</v>
      </c>
      <c r="B44" s="16" t="s">
        <v>23</v>
      </c>
      <c r="C44" s="16" t="s">
        <v>311</v>
      </c>
      <c r="D44" s="16" t="s">
        <v>318</v>
      </c>
      <c r="E44" s="16" t="s">
        <v>319</v>
      </c>
      <c r="F44" s="16" t="s">
        <v>320</v>
      </c>
      <c r="G44" s="16" t="s">
        <v>321</v>
      </c>
      <c r="H44" s="15" t="s">
        <v>49</v>
      </c>
      <c r="I44" s="17" t="s">
        <v>8</v>
      </c>
      <c r="J44" s="18">
        <v>1</v>
      </c>
      <c r="K44" s="15" t="s">
        <v>50</v>
      </c>
      <c r="L44" s="16"/>
      <c r="M44" s="17"/>
      <c r="N44" s="19">
        <v>46323</v>
      </c>
      <c r="O44" s="16" t="s">
        <v>322</v>
      </c>
      <c r="P44" s="16" t="s">
        <v>323</v>
      </c>
    </row>
    <row r="45" spans="1:16" ht="87.5" x14ac:dyDescent="0.35">
      <c r="A45" s="15" t="s">
        <v>324</v>
      </c>
      <c r="B45" s="16" t="s">
        <v>23</v>
      </c>
      <c r="C45" s="16" t="s">
        <v>311</v>
      </c>
      <c r="D45" s="16" t="s">
        <v>325</v>
      </c>
      <c r="E45" s="16" t="s">
        <v>326</v>
      </c>
      <c r="F45" s="16" t="s">
        <v>327</v>
      </c>
      <c r="G45" s="16" t="s">
        <v>328</v>
      </c>
      <c r="H45" s="15" t="s">
        <v>49</v>
      </c>
      <c r="I45" s="17" t="s">
        <v>8</v>
      </c>
      <c r="J45" s="18">
        <v>1</v>
      </c>
      <c r="K45" s="15" t="s">
        <v>50</v>
      </c>
      <c r="L45" s="16"/>
      <c r="M45" s="17"/>
      <c r="N45" s="19">
        <v>46323</v>
      </c>
      <c r="O45" s="16" t="s">
        <v>329</v>
      </c>
      <c r="P45" s="16" t="s">
        <v>330</v>
      </c>
    </row>
    <row r="46" spans="1:16" ht="87.5" x14ac:dyDescent="0.35">
      <c r="A46" s="15" t="s">
        <v>331</v>
      </c>
      <c r="B46" s="16" t="s">
        <v>23</v>
      </c>
      <c r="C46" s="16" t="s">
        <v>311</v>
      </c>
      <c r="D46" s="16" t="s">
        <v>332</v>
      </c>
      <c r="E46" s="16" t="s">
        <v>333</v>
      </c>
      <c r="F46" s="16" t="s">
        <v>334</v>
      </c>
      <c r="G46" s="16" t="s">
        <v>335</v>
      </c>
      <c r="H46" s="15" t="s">
        <v>49</v>
      </c>
      <c r="I46" s="17" t="s">
        <v>8</v>
      </c>
      <c r="J46" s="18">
        <v>1</v>
      </c>
      <c r="K46" s="15" t="s">
        <v>50</v>
      </c>
      <c r="L46" s="16"/>
      <c r="M46" s="17"/>
      <c r="N46" s="19">
        <v>46323</v>
      </c>
      <c r="O46" s="16" t="s">
        <v>336</v>
      </c>
      <c r="P46" s="16" t="s">
        <v>337</v>
      </c>
    </row>
    <row r="47" spans="1:16" ht="62.5" x14ac:dyDescent="0.35">
      <c r="A47" s="15" t="s">
        <v>338</v>
      </c>
      <c r="B47" s="16" t="s">
        <v>23</v>
      </c>
      <c r="C47" s="16" t="s">
        <v>339</v>
      </c>
      <c r="D47" s="16" t="s">
        <v>340</v>
      </c>
      <c r="E47" s="16" t="s">
        <v>341</v>
      </c>
      <c r="F47" s="16" t="s">
        <v>47</v>
      </c>
      <c r="G47" s="16" t="s">
        <v>342</v>
      </c>
      <c r="H47" s="15" t="s">
        <v>49</v>
      </c>
      <c r="I47" s="17" t="s">
        <v>8</v>
      </c>
      <c r="J47" s="18">
        <v>1</v>
      </c>
      <c r="K47" s="15" t="s">
        <v>50</v>
      </c>
      <c r="L47" s="16"/>
      <c r="M47" s="17"/>
      <c r="N47" s="19">
        <v>46323</v>
      </c>
      <c r="O47" s="16" t="s">
        <v>343</v>
      </c>
      <c r="P47" s="16" t="s">
        <v>344</v>
      </c>
    </row>
    <row r="48" spans="1:16" ht="25" x14ac:dyDescent="0.35">
      <c r="A48" s="15" t="s">
        <v>345</v>
      </c>
      <c r="B48" s="16" t="s">
        <v>23</v>
      </c>
      <c r="C48" s="16" t="s">
        <v>130</v>
      </c>
      <c r="D48" s="16" t="s">
        <v>346</v>
      </c>
      <c r="E48" s="16" t="s">
        <v>347</v>
      </c>
      <c r="F48" s="16" t="s">
        <v>348</v>
      </c>
      <c r="G48" s="16" t="s">
        <v>349</v>
      </c>
      <c r="H48" s="15" t="s">
        <v>49</v>
      </c>
      <c r="I48" s="17" t="s">
        <v>8</v>
      </c>
      <c r="J48" s="18">
        <v>1</v>
      </c>
      <c r="K48" s="15" t="s">
        <v>50</v>
      </c>
      <c r="L48" s="16"/>
      <c r="M48" s="17"/>
      <c r="N48" s="19">
        <v>46323</v>
      </c>
      <c r="O48" s="16" t="s">
        <v>350</v>
      </c>
      <c r="P48" s="16"/>
    </row>
    <row r="49" spans="1:16" ht="25" x14ac:dyDescent="0.35">
      <c r="A49" s="15" t="s">
        <v>351</v>
      </c>
      <c r="B49" s="16" t="s">
        <v>23</v>
      </c>
      <c r="C49" s="16" t="s">
        <v>172</v>
      </c>
      <c r="D49" s="16" t="s">
        <v>352</v>
      </c>
      <c r="E49" s="16" t="s">
        <v>353</v>
      </c>
      <c r="F49" s="16" t="s">
        <v>183</v>
      </c>
      <c r="G49" s="16" t="s">
        <v>354</v>
      </c>
      <c r="H49" s="15" t="s">
        <v>49</v>
      </c>
      <c r="I49" s="17" t="s">
        <v>8</v>
      </c>
      <c r="J49" s="18">
        <v>1</v>
      </c>
      <c r="K49" s="15" t="s">
        <v>50</v>
      </c>
      <c r="L49" s="16"/>
      <c r="M49" s="17"/>
      <c r="N49" s="19">
        <v>46323</v>
      </c>
      <c r="O49" s="16" t="s">
        <v>355</v>
      </c>
      <c r="P49" s="16"/>
    </row>
    <row r="50" spans="1:16" ht="25" x14ac:dyDescent="0.35">
      <c r="A50" s="15" t="s">
        <v>356</v>
      </c>
      <c r="B50" s="16" t="s">
        <v>23</v>
      </c>
      <c r="C50" s="16" t="s">
        <v>311</v>
      </c>
      <c r="D50" s="16" t="s">
        <v>357</v>
      </c>
      <c r="E50" s="16" t="s">
        <v>358</v>
      </c>
      <c r="F50" s="16" t="s">
        <v>359</v>
      </c>
      <c r="G50" s="16" t="s">
        <v>360</v>
      </c>
      <c r="H50" s="15" t="s">
        <v>49</v>
      </c>
      <c r="I50" s="17" t="s">
        <v>8</v>
      </c>
      <c r="J50" s="18">
        <v>1</v>
      </c>
      <c r="K50" s="15" t="s">
        <v>50</v>
      </c>
      <c r="L50" s="16"/>
      <c r="M50" s="17"/>
      <c r="N50" s="19">
        <v>46323</v>
      </c>
      <c r="O50" s="16" t="s">
        <v>361</v>
      </c>
      <c r="P50" s="16"/>
    </row>
    <row r="51" spans="1:16" ht="25" x14ac:dyDescent="0.35">
      <c r="A51" s="15" t="s">
        <v>362</v>
      </c>
      <c r="B51" s="16" t="s">
        <v>23</v>
      </c>
      <c r="C51" s="16" t="s">
        <v>311</v>
      </c>
      <c r="D51" s="16" t="s">
        <v>363</v>
      </c>
      <c r="E51" s="16" t="s">
        <v>364</v>
      </c>
      <c r="F51" s="16" t="s">
        <v>47</v>
      </c>
      <c r="G51" s="16" t="s">
        <v>365</v>
      </c>
      <c r="H51" s="15" t="s">
        <v>49</v>
      </c>
      <c r="I51" s="17" t="s">
        <v>8</v>
      </c>
      <c r="J51" s="18">
        <v>1</v>
      </c>
      <c r="K51" s="15" t="s">
        <v>50</v>
      </c>
      <c r="L51" s="16"/>
      <c r="M51" s="17"/>
      <c r="N51" s="19">
        <v>46323</v>
      </c>
      <c r="O51" s="16" t="s">
        <v>361</v>
      </c>
      <c r="P51" s="16"/>
    </row>
    <row r="52" spans="1:16" ht="25" x14ac:dyDescent="0.35">
      <c r="A52" s="15" t="s">
        <v>366</v>
      </c>
      <c r="B52" s="16" t="s">
        <v>23</v>
      </c>
      <c r="C52" s="16" t="s">
        <v>137</v>
      </c>
      <c r="D52" s="16" t="s">
        <v>367</v>
      </c>
      <c r="E52" s="16" t="s">
        <v>368</v>
      </c>
      <c r="F52" s="16" t="s">
        <v>259</v>
      </c>
      <c r="G52" s="16"/>
      <c r="H52" s="15" t="s">
        <v>49</v>
      </c>
      <c r="I52" s="17" t="s">
        <v>369</v>
      </c>
      <c r="J52" s="18">
        <v>0</v>
      </c>
      <c r="K52" s="15" t="s">
        <v>370</v>
      </c>
      <c r="L52" s="16" t="s">
        <v>371</v>
      </c>
      <c r="M52" s="17">
        <v>1</v>
      </c>
      <c r="N52" s="19"/>
      <c r="O52" s="16"/>
      <c r="P52" s="16"/>
    </row>
    <row r="53" spans="1:16" ht="25" x14ac:dyDescent="0.35">
      <c r="A53" s="15" t="s">
        <v>372</v>
      </c>
      <c r="B53" s="16" t="s">
        <v>23</v>
      </c>
      <c r="C53" s="16" t="s">
        <v>373</v>
      </c>
      <c r="D53" s="16" t="s">
        <v>374</v>
      </c>
      <c r="E53" s="16" t="s">
        <v>375</v>
      </c>
      <c r="F53" s="16" t="s">
        <v>376</v>
      </c>
      <c r="G53" s="16"/>
      <c r="H53" s="15" t="s">
        <v>49</v>
      </c>
      <c r="I53" s="17" t="s">
        <v>369</v>
      </c>
      <c r="J53" s="18">
        <v>0</v>
      </c>
      <c r="K53" s="15" t="s">
        <v>50</v>
      </c>
      <c r="L53" s="16" t="s">
        <v>377</v>
      </c>
      <c r="M53" s="17">
        <v>2</v>
      </c>
      <c r="N53" s="19"/>
      <c r="O53" s="16"/>
      <c r="P53" s="16"/>
    </row>
    <row r="54" spans="1:16" ht="37.5" x14ac:dyDescent="0.35">
      <c r="A54" s="15" t="s">
        <v>378</v>
      </c>
      <c r="B54" s="16" t="s">
        <v>23</v>
      </c>
      <c r="C54" s="16" t="s">
        <v>373</v>
      </c>
      <c r="D54" s="16" t="s">
        <v>379</v>
      </c>
      <c r="E54" s="16" t="s">
        <v>380</v>
      </c>
      <c r="F54" s="16" t="s">
        <v>381</v>
      </c>
      <c r="G54" s="16"/>
      <c r="H54" s="15" t="s">
        <v>49</v>
      </c>
      <c r="I54" s="17" t="s">
        <v>369</v>
      </c>
      <c r="J54" s="18">
        <v>0</v>
      </c>
      <c r="K54" s="15" t="s">
        <v>382</v>
      </c>
      <c r="L54" s="16" t="s">
        <v>383</v>
      </c>
      <c r="M54" s="17">
        <v>3</v>
      </c>
      <c r="N54" s="19"/>
      <c r="O54" s="16"/>
      <c r="P54" s="16"/>
    </row>
    <row r="55" spans="1:16" ht="25" x14ac:dyDescent="0.35">
      <c r="A55" s="15" t="s">
        <v>384</v>
      </c>
      <c r="B55" s="16" t="s">
        <v>23</v>
      </c>
      <c r="C55" s="16" t="s">
        <v>18</v>
      </c>
      <c r="D55" s="16" t="s">
        <v>385</v>
      </c>
      <c r="E55" s="16" t="s">
        <v>386</v>
      </c>
      <c r="F55" s="16" t="s">
        <v>334</v>
      </c>
      <c r="G55" s="16"/>
      <c r="H55" s="15" t="s">
        <v>49</v>
      </c>
      <c r="I55" s="17" t="s">
        <v>369</v>
      </c>
      <c r="J55" s="18">
        <v>0</v>
      </c>
      <c r="K55" s="15" t="s">
        <v>370</v>
      </c>
      <c r="L55" s="16" t="s">
        <v>387</v>
      </c>
      <c r="M55" s="17">
        <v>4</v>
      </c>
      <c r="N55" s="19"/>
      <c r="O55" s="16"/>
      <c r="P55" s="16"/>
    </row>
    <row r="56" spans="1:16" ht="25" x14ac:dyDescent="0.35">
      <c r="A56" s="15" t="s">
        <v>388</v>
      </c>
      <c r="B56" s="16" t="s">
        <v>24</v>
      </c>
      <c r="C56" s="16" t="s">
        <v>389</v>
      </c>
      <c r="D56" s="16" t="s">
        <v>390</v>
      </c>
      <c r="E56" s="16" t="s">
        <v>391</v>
      </c>
      <c r="F56" s="16" t="s">
        <v>392</v>
      </c>
      <c r="G56" s="16"/>
      <c r="H56" s="15" t="s">
        <v>393</v>
      </c>
      <c r="I56" s="17" t="s">
        <v>369</v>
      </c>
      <c r="J56" s="18">
        <v>0</v>
      </c>
      <c r="K56" s="15" t="s">
        <v>50</v>
      </c>
      <c r="L56" s="16"/>
      <c r="M56" s="17"/>
      <c r="N56" s="19"/>
      <c r="O56" s="16"/>
      <c r="P56" s="16"/>
    </row>
    <row r="57" spans="1:16" ht="25" x14ac:dyDescent="0.35">
      <c r="A57" s="15" t="s">
        <v>394</v>
      </c>
      <c r="B57" s="16" t="s">
        <v>24</v>
      </c>
      <c r="C57" s="16" t="s">
        <v>389</v>
      </c>
      <c r="D57" s="16" t="s">
        <v>395</v>
      </c>
      <c r="E57" s="16" t="s">
        <v>396</v>
      </c>
      <c r="F57" s="16" t="s">
        <v>397</v>
      </c>
      <c r="G57" s="16"/>
      <c r="H57" s="15" t="s">
        <v>393</v>
      </c>
      <c r="I57" s="17" t="s">
        <v>369</v>
      </c>
      <c r="J57" s="18">
        <v>0</v>
      </c>
      <c r="K57" s="15" t="s">
        <v>50</v>
      </c>
      <c r="L57" s="16" t="s">
        <v>398</v>
      </c>
      <c r="M57" s="17"/>
      <c r="N57" s="19"/>
      <c r="O57" s="16"/>
      <c r="P57" s="16"/>
    </row>
    <row r="58" spans="1:16" ht="25" x14ac:dyDescent="0.35">
      <c r="A58" s="15" t="s">
        <v>399</v>
      </c>
      <c r="B58" s="16" t="s">
        <v>24</v>
      </c>
      <c r="C58" s="16" t="s">
        <v>389</v>
      </c>
      <c r="D58" s="16" t="s">
        <v>400</v>
      </c>
      <c r="E58" s="16" t="s">
        <v>401</v>
      </c>
      <c r="F58" s="16" t="s">
        <v>402</v>
      </c>
      <c r="G58" s="16"/>
      <c r="H58" s="15" t="s">
        <v>393</v>
      </c>
      <c r="I58" s="17" t="s">
        <v>369</v>
      </c>
      <c r="J58" s="18">
        <v>0</v>
      </c>
      <c r="K58" s="15" t="s">
        <v>50</v>
      </c>
      <c r="L58" s="16" t="s">
        <v>398</v>
      </c>
      <c r="M58" s="17"/>
      <c r="N58" s="19"/>
      <c r="O58" s="16"/>
      <c r="P58" s="16"/>
    </row>
    <row r="59" spans="1:16" ht="25" x14ac:dyDescent="0.35">
      <c r="A59" s="15" t="s">
        <v>403</v>
      </c>
      <c r="B59" s="16" t="s">
        <v>24</v>
      </c>
      <c r="C59" s="16" t="s">
        <v>404</v>
      </c>
      <c r="D59" s="16" t="s">
        <v>405</v>
      </c>
      <c r="E59" s="16" t="s">
        <v>406</v>
      </c>
      <c r="F59" s="16" t="s">
        <v>107</v>
      </c>
      <c r="G59" s="16"/>
      <c r="H59" s="15" t="s">
        <v>393</v>
      </c>
      <c r="I59" s="17" t="s">
        <v>369</v>
      </c>
      <c r="J59" s="18">
        <v>0</v>
      </c>
      <c r="K59" s="15" t="s">
        <v>50</v>
      </c>
      <c r="L59" s="16"/>
      <c r="M59" s="17"/>
      <c r="N59" s="19"/>
      <c r="O59" s="16"/>
      <c r="P59" s="16"/>
    </row>
    <row r="60" spans="1:16" ht="25" x14ac:dyDescent="0.35">
      <c r="A60" s="15" t="s">
        <v>407</v>
      </c>
      <c r="B60" s="16" t="s">
        <v>24</v>
      </c>
      <c r="C60" s="16" t="s">
        <v>404</v>
      </c>
      <c r="D60" s="16" t="s">
        <v>408</v>
      </c>
      <c r="E60" s="16" t="s">
        <v>409</v>
      </c>
      <c r="F60" s="16" t="s">
        <v>410</v>
      </c>
      <c r="G60" s="16"/>
      <c r="H60" s="15" t="s">
        <v>393</v>
      </c>
      <c r="I60" s="17" t="s">
        <v>369</v>
      </c>
      <c r="J60" s="18">
        <v>0</v>
      </c>
      <c r="K60" s="15" t="s">
        <v>382</v>
      </c>
      <c r="L60" s="16"/>
      <c r="M60" s="17"/>
      <c r="N60" s="19"/>
      <c r="O60" s="16"/>
      <c r="P60" s="16"/>
    </row>
    <row r="61" spans="1:16" ht="25" x14ac:dyDescent="0.35">
      <c r="A61" s="15" t="s">
        <v>411</v>
      </c>
      <c r="B61" s="16" t="s">
        <v>24</v>
      </c>
      <c r="C61" s="16" t="s">
        <v>412</v>
      </c>
      <c r="D61" s="16" t="s">
        <v>413</v>
      </c>
      <c r="E61" s="16" t="s">
        <v>414</v>
      </c>
      <c r="F61" s="16" t="s">
        <v>415</v>
      </c>
      <c r="G61" s="16"/>
      <c r="H61" s="15" t="s">
        <v>393</v>
      </c>
      <c r="I61" s="17" t="s">
        <v>369</v>
      </c>
      <c r="J61" s="18">
        <v>0</v>
      </c>
      <c r="K61" s="15" t="s">
        <v>382</v>
      </c>
      <c r="L61" s="16"/>
      <c r="M61" s="17"/>
      <c r="N61" s="19"/>
      <c r="O61" s="16"/>
      <c r="P61" s="16"/>
    </row>
    <row r="62" spans="1:16" ht="25" x14ac:dyDescent="0.35">
      <c r="A62" s="15" t="s">
        <v>416</v>
      </c>
      <c r="B62" s="16" t="s">
        <v>24</v>
      </c>
      <c r="C62" s="16" t="s">
        <v>412</v>
      </c>
      <c r="D62" s="16" t="s">
        <v>417</v>
      </c>
      <c r="E62" s="16" t="s">
        <v>418</v>
      </c>
      <c r="F62" s="16" t="s">
        <v>419</v>
      </c>
      <c r="G62" s="16"/>
      <c r="H62" s="15" t="s">
        <v>393</v>
      </c>
      <c r="I62" s="17" t="s">
        <v>369</v>
      </c>
      <c r="J62" s="18">
        <v>0</v>
      </c>
      <c r="K62" s="15" t="s">
        <v>382</v>
      </c>
      <c r="L62" s="16"/>
      <c r="M62" s="17"/>
      <c r="N62" s="19"/>
      <c r="O62" s="16"/>
      <c r="P62" s="16"/>
    </row>
    <row r="63" spans="1:16" ht="25" x14ac:dyDescent="0.35">
      <c r="A63" s="15" t="s">
        <v>420</v>
      </c>
      <c r="B63" s="16" t="s">
        <v>24</v>
      </c>
      <c r="C63" s="16" t="s">
        <v>421</v>
      </c>
      <c r="D63" s="16" t="s">
        <v>422</v>
      </c>
      <c r="E63" s="16" t="s">
        <v>423</v>
      </c>
      <c r="F63" s="16" t="s">
        <v>424</v>
      </c>
      <c r="G63" s="16"/>
      <c r="H63" s="15" t="s">
        <v>393</v>
      </c>
      <c r="I63" s="17" t="s">
        <v>369</v>
      </c>
      <c r="J63" s="18">
        <v>0</v>
      </c>
      <c r="K63" s="15" t="s">
        <v>50</v>
      </c>
      <c r="L63" s="16"/>
      <c r="M63" s="17"/>
      <c r="N63" s="19"/>
      <c r="O63" s="16"/>
      <c r="P63" s="16"/>
    </row>
    <row r="64" spans="1:16" ht="25" x14ac:dyDescent="0.35">
      <c r="A64" s="15" t="s">
        <v>425</v>
      </c>
      <c r="B64" s="16" t="s">
        <v>24</v>
      </c>
      <c r="C64" s="16" t="s">
        <v>421</v>
      </c>
      <c r="D64" s="16" t="s">
        <v>426</v>
      </c>
      <c r="E64" s="16" t="s">
        <v>427</v>
      </c>
      <c r="F64" s="16" t="s">
        <v>428</v>
      </c>
      <c r="G64" s="16"/>
      <c r="H64" s="15" t="s">
        <v>393</v>
      </c>
      <c r="I64" s="17" t="s">
        <v>369</v>
      </c>
      <c r="J64" s="18">
        <v>0</v>
      </c>
      <c r="K64" s="15" t="s">
        <v>382</v>
      </c>
      <c r="L64" s="16"/>
      <c r="M64" s="17"/>
      <c r="N64" s="19"/>
      <c r="O64" s="16"/>
      <c r="P64" s="16"/>
    </row>
    <row r="65" spans="1:16" ht="25" x14ac:dyDescent="0.35">
      <c r="A65" s="15" t="s">
        <v>429</v>
      </c>
      <c r="B65" s="16" t="s">
        <v>24</v>
      </c>
      <c r="C65" s="16" t="s">
        <v>421</v>
      </c>
      <c r="D65" s="16" t="s">
        <v>430</v>
      </c>
      <c r="E65" s="16" t="s">
        <v>431</v>
      </c>
      <c r="F65" s="16" t="s">
        <v>432</v>
      </c>
      <c r="G65" s="16"/>
      <c r="H65" s="15" t="s">
        <v>393</v>
      </c>
      <c r="I65" s="17" t="s">
        <v>369</v>
      </c>
      <c r="J65" s="18">
        <v>0</v>
      </c>
      <c r="K65" s="15" t="s">
        <v>50</v>
      </c>
      <c r="L65" s="16" t="s">
        <v>433</v>
      </c>
      <c r="M65" s="17"/>
      <c r="N65" s="19"/>
      <c r="O65" s="16"/>
      <c r="P65" s="16"/>
    </row>
    <row r="66" spans="1:16" ht="25" x14ac:dyDescent="0.35">
      <c r="A66" s="15" t="s">
        <v>434</v>
      </c>
      <c r="B66" s="16" t="s">
        <v>24</v>
      </c>
      <c r="C66" s="16" t="s">
        <v>435</v>
      </c>
      <c r="D66" s="16" t="s">
        <v>436</v>
      </c>
      <c r="E66" s="16" t="s">
        <v>437</v>
      </c>
      <c r="F66" s="16" t="s">
        <v>348</v>
      </c>
      <c r="G66" s="16"/>
      <c r="H66" s="15" t="s">
        <v>393</v>
      </c>
      <c r="I66" s="17" t="s">
        <v>369</v>
      </c>
      <c r="J66" s="18">
        <v>0</v>
      </c>
      <c r="K66" s="15" t="s">
        <v>50</v>
      </c>
      <c r="L66" s="16" t="s">
        <v>433</v>
      </c>
      <c r="M66" s="17"/>
      <c r="N66" s="19"/>
      <c r="O66" s="16"/>
      <c r="P66" s="16"/>
    </row>
    <row r="67" spans="1:16" ht="25" x14ac:dyDescent="0.35">
      <c r="A67" s="15" t="s">
        <v>438</v>
      </c>
      <c r="B67" s="16" t="s">
        <v>24</v>
      </c>
      <c r="C67" s="16" t="s">
        <v>435</v>
      </c>
      <c r="D67" s="16" t="s">
        <v>439</v>
      </c>
      <c r="E67" s="16" t="s">
        <v>440</v>
      </c>
      <c r="F67" s="16" t="s">
        <v>441</v>
      </c>
      <c r="G67" s="16"/>
      <c r="H67" s="15" t="s">
        <v>393</v>
      </c>
      <c r="I67" s="17" t="s">
        <v>369</v>
      </c>
      <c r="J67" s="18">
        <v>0</v>
      </c>
      <c r="K67" s="15" t="s">
        <v>382</v>
      </c>
      <c r="L67" s="16"/>
      <c r="M67" s="17"/>
      <c r="N67" s="19"/>
      <c r="O67" s="16"/>
      <c r="P67" s="16"/>
    </row>
    <row r="68" spans="1:16" ht="25" x14ac:dyDescent="0.35">
      <c r="A68" s="15" t="s">
        <v>442</v>
      </c>
      <c r="B68" s="16" t="s">
        <v>24</v>
      </c>
      <c r="C68" s="16" t="s">
        <v>435</v>
      </c>
      <c r="D68" s="16" t="s">
        <v>443</v>
      </c>
      <c r="E68" s="16" t="s">
        <v>444</v>
      </c>
      <c r="F68" s="16" t="s">
        <v>445</v>
      </c>
      <c r="G68" s="16"/>
      <c r="H68" s="15" t="s">
        <v>393</v>
      </c>
      <c r="I68" s="17" t="s">
        <v>369</v>
      </c>
      <c r="J68" s="18">
        <v>0</v>
      </c>
      <c r="K68" s="15" t="s">
        <v>50</v>
      </c>
      <c r="L68" s="16"/>
      <c r="M68" s="17"/>
      <c r="N68" s="19"/>
      <c r="O68" s="16"/>
      <c r="P68" s="16"/>
    </row>
    <row r="69" spans="1:16" ht="50" x14ac:dyDescent="0.35">
      <c r="A69" s="15" t="s">
        <v>446</v>
      </c>
      <c r="B69" s="16" t="s">
        <v>24</v>
      </c>
      <c r="C69" s="16" t="s">
        <v>447</v>
      </c>
      <c r="D69" s="16" t="s">
        <v>448</v>
      </c>
      <c r="E69" s="16" t="s">
        <v>449</v>
      </c>
      <c r="F69" s="16" t="s">
        <v>450</v>
      </c>
      <c r="G69" s="16"/>
      <c r="H69" s="15" t="s">
        <v>393</v>
      </c>
      <c r="I69" s="17" t="s">
        <v>369</v>
      </c>
      <c r="J69" s="18">
        <v>0</v>
      </c>
      <c r="K69" s="15" t="s">
        <v>451</v>
      </c>
      <c r="L69" s="16"/>
      <c r="M69" s="17"/>
      <c r="N69" s="19"/>
      <c r="O69" s="16"/>
      <c r="P69" s="16"/>
    </row>
    <row r="70" spans="1:16" ht="25" x14ac:dyDescent="0.35">
      <c r="A70" s="15" t="s">
        <v>452</v>
      </c>
      <c r="B70" s="16" t="s">
        <v>24</v>
      </c>
      <c r="C70" s="16" t="s">
        <v>447</v>
      </c>
      <c r="D70" s="16" t="s">
        <v>453</v>
      </c>
      <c r="E70" s="16" t="s">
        <v>454</v>
      </c>
      <c r="F70" s="16" t="s">
        <v>455</v>
      </c>
      <c r="G70" s="16"/>
      <c r="H70" s="15" t="s">
        <v>393</v>
      </c>
      <c r="I70" s="17" t="s">
        <v>369</v>
      </c>
      <c r="J70" s="18">
        <v>0</v>
      </c>
      <c r="K70" s="15" t="s">
        <v>382</v>
      </c>
      <c r="L70" s="16" t="s">
        <v>456</v>
      </c>
      <c r="M70" s="17"/>
      <c r="N70" s="19"/>
      <c r="O70" s="16"/>
      <c r="P70" s="16"/>
    </row>
    <row r="71" spans="1:16" ht="25" x14ac:dyDescent="0.35">
      <c r="A71" s="15" t="s">
        <v>457</v>
      </c>
      <c r="B71" s="16" t="s">
        <v>24</v>
      </c>
      <c r="C71" s="16" t="s">
        <v>447</v>
      </c>
      <c r="D71" s="16" t="s">
        <v>458</v>
      </c>
      <c r="E71" s="16" t="s">
        <v>459</v>
      </c>
      <c r="F71" s="16" t="s">
        <v>460</v>
      </c>
      <c r="G71" s="16"/>
      <c r="H71" s="15" t="s">
        <v>393</v>
      </c>
      <c r="I71" s="17" t="s">
        <v>369</v>
      </c>
      <c r="J71" s="18">
        <v>0</v>
      </c>
      <c r="K71" s="15" t="s">
        <v>50</v>
      </c>
      <c r="L71" s="16" t="s">
        <v>456</v>
      </c>
      <c r="M71" s="17"/>
      <c r="N71" s="19"/>
      <c r="O71" s="16"/>
      <c r="P71" s="16"/>
    </row>
    <row r="72" spans="1:16" ht="25" x14ac:dyDescent="0.35">
      <c r="A72" s="15" t="s">
        <v>461</v>
      </c>
      <c r="B72" s="16" t="s">
        <v>24</v>
      </c>
      <c r="C72" s="16" t="s">
        <v>462</v>
      </c>
      <c r="D72" s="16" t="s">
        <v>463</v>
      </c>
      <c r="E72" s="16" t="s">
        <v>464</v>
      </c>
      <c r="F72" s="16" t="s">
        <v>465</v>
      </c>
      <c r="G72" s="16"/>
      <c r="H72" s="15" t="s">
        <v>393</v>
      </c>
      <c r="I72" s="17" t="s">
        <v>369</v>
      </c>
      <c r="J72" s="18">
        <v>0</v>
      </c>
      <c r="K72" s="15" t="s">
        <v>50</v>
      </c>
      <c r="L72" s="16"/>
      <c r="M72" s="17"/>
      <c r="N72" s="19"/>
      <c r="O72" s="16"/>
      <c r="P72" s="16"/>
    </row>
    <row r="73" spans="1:16" ht="25" x14ac:dyDescent="0.35">
      <c r="A73" s="15" t="s">
        <v>466</v>
      </c>
      <c r="B73" s="16" t="s">
        <v>24</v>
      </c>
      <c r="C73" s="16" t="s">
        <v>462</v>
      </c>
      <c r="D73" s="16" t="s">
        <v>467</v>
      </c>
      <c r="E73" s="16" t="s">
        <v>468</v>
      </c>
      <c r="F73" s="16" t="s">
        <v>469</v>
      </c>
      <c r="G73" s="16"/>
      <c r="H73" s="15" t="s">
        <v>393</v>
      </c>
      <c r="I73" s="17" t="s">
        <v>369</v>
      </c>
      <c r="J73" s="18">
        <v>0</v>
      </c>
      <c r="K73" s="15" t="s">
        <v>382</v>
      </c>
      <c r="L73" s="16"/>
      <c r="M73" s="17"/>
      <c r="N73" s="19"/>
      <c r="O73" s="16"/>
      <c r="P73" s="16"/>
    </row>
    <row r="74" spans="1:16" ht="25" x14ac:dyDescent="0.35">
      <c r="A74" s="15" t="s">
        <v>470</v>
      </c>
      <c r="B74" s="16" t="s">
        <v>24</v>
      </c>
      <c r="C74" s="16" t="s">
        <v>462</v>
      </c>
      <c r="D74" s="16" t="s">
        <v>471</v>
      </c>
      <c r="E74" s="16" t="s">
        <v>472</v>
      </c>
      <c r="F74" s="16" t="s">
        <v>473</v>
      </c>
      <c r="G74" s="16"/>
      <c r="H74" s="15" t="s">
        <v>393</v>
      </c>
      <c r="I74" s="17" t="s">
        <v>369</v>
      </c>
      <c r="J74" s="18">
        <v>0</v>
      </c>
      <c r="K74" s="15" t="s">
        <v>50</v>
      </c>
      <c r="L74" s="16"/>
      <c r="M74" s="17"/>
      <c r="N74" s="19"/>
      <c r="O74" s="16"/>
      <c r="P74" s="16"/>
    </row>
    <row r="75" spans="1:16" ht="25" x14ac:dyDescent="0.35">
      <c r="A75" s="15" t="s">
        <v>474</v>
      </c>
      <c r="B75" s="16" t="s">
        <v>24</v>
      </c>
      <c r="C75" s="16" t="s">
        <v>462</v>
      </c>
      <c r="D75" s="16" t="s">
        <v>475</v>
      </c>
      <c r="E75" s="16" t="s">
        <v>476</v>
      </c>
      <c r="F75" s="16" t="s">
        <v>477</v>
      </c>
      <c r="G75" s="16"/>
      <c r="H75" s="15" t="s">
        <v>393</v>
      </c>
      <c r="I75" s="17" t="s">
        <v>369</v>
      </c>
      <c r="J75" s="18">
        <v>0</v>
      </c>
      <c r="K75" s="15" t="s">
        <v>50</v>
      </c>
      <c r="L75" s="16"/>
      <c r="M75" s="17"/>
      <c r="N75" s="19"/>
      <c r="O75" s="16"/>
      <c r="P75" s="16"/>
    </row>
    <row r="76" spans="1:16" ht="25" x14ac:dyDescent="0.35">
      <c r="A76" s="15" t="s">
        <v>478</v>
      </c>
      <c r="B76" s="16" t="s">
        <v>24</v>
      </c>
      <c r="C76" s="16" t="s">
        <v>172</v>
      </c>
      <c r="D76" s="16" t="s">
        <v>479</v>
      </c>
      <c r="E76" s="16" t="s">
        <v>480</v>
      </c>
      <c r="F76" s="16" t="s">
        <v>481</v>
      </c>
      <c r="G76" s="16"/>
      <c r="H76" s="15" t="s">
        <v>393</v>
      </c>
      <c r="I76" s="17" t="s">
        <v>369</v>
      </c>
      <c r="J76" s="18">
        <v>0</v>
      </c>
      <c r="K76" s="15" t="s">
        <v>50</v>
      </c>
      <c r="L76" s="16"/>
      <c r="M76" s="17"/>
      <c r="N76" s="19"/>
      <c r="O76" s="16"/>
      <c r="P76" s="16"/>
    </row>
    <row r="77" spans="1:16" ht="25" x14ac:dyDescent="0.35">
      <c r="A77" s="15" t="s">
        <v>482</v>
      </c>
      <c r="B77" s="16" t="s">
        <v>24</v>
      </c>
      <c r="C77" s="16" t="s">
        <v>18</v>
      </c>
      <c r="D77" s="16" t="s">
        <v>483</v>
      </c>
      <c r="E77" s="16" t="s">
        <v>484</v>
      </c>
      <c r="F77" s="16" t="s">
        <v>334</v>
      </c>
      <c r="G77" s="16"/>
      <c r="H77" s="15" t="s">
        <v>393</v>
      </c>
      <c r="I77" s="17" t="s">
        <v>369</v>
      </c>
      <c r="J77" s="18">
        <v>0</v>
      </c>
      <c r="K77" s="15" t="s">
        <v>50</v>
      </c>
      <c r="L77" s="16"/>
      <c r="M77" s="17"/>
      <c r="N77" s="19"/>
      <c r="O77" s="16"/>
      <c r="P77" s="16"/>
    </row>
    <row r="78" spans="1:16" ht="25" x14ac:dyDescent="0.35">
      <c r="A78" s="15" t="s">
        <v>485</v>
      </c>
      <c r="B78" s="16" t="s">
        <v>25</v>
      </c>
      <c r="C78" s="16" t="s">
        <v>486</v>
      </c>
      <c r="D78" s="16" t="s">
        <v>487</v>
      </c>
      <c r="E78" s="16" t="s">
        <v>488</v>
      </c>
      <c r="F78" s="16" t="s">
        <v>489</v>
      </c>
      <c r="G78" s="16"/>
      <c r="H78" s="15" t="s">
        <v>393</v>
      </c>
      <c r="I78" s="17" t="s">
        <v>369</v>
      </c>
      <c r="J78" s="18">
        <v>0</v>
      </c>
      <c r="K78" s="15" t="s">
        <v>382</v>
      </c>
      <c r="L78" s="16"/>
      <c r="M78" s="17"/>
      <c r="N78" s="19"/>
      <c r="O78" s="16"/>
      <c r="P78" s="16"/>
    </row>
    <row r="79" spans="1:16" ht="25" x14ac:dyDescent="0.35">
      <c r="A79" s="15" t="s">
        <v>490</v>
      </c>
      <c r="B79" s="16" t="s">
        <v>25</v>
      </c>
      <c r="C79" s="16" t="s">
        <v>491</v>
      </c>
      <c r="D79" s="16" t="s">
        <v>492</v>
      </c>
      <c r="E79" s="16" t="s">
        <v>493</v>
      </c>
      <c r="F79" s="16" t="s">
        <v>494</v>
      </c>
      <c r="G79" s="16"/>
      <c r="H79" s="15" t="s">
        <v>393</v>
      </c>
      <c r="I79" s="17" t="s">
        <v>369</v>
      </c>
      <c r="J79" s="18">
        <v>0</v>
      </c>
      <c r="K79" s="15" t="s">
        <v>382</v>
      </c>
      <c r="L79" s="16"/>
      <c r="M79" s="17"/>
      <c r="N79" s="19"/>
      <c r="O79" s="16"/>
      <c r="P79" s="16"/>
    </row>
    <row r="80" spans="1:16" ht="25" x14ac:dyDescent="0.35">
      <c r="A80" s="15" t="s">
        <v>495</v>
      </c>
      <c r="B80" s="16" t="s">
        <v>25</v>
      </c>
      <c r="C80" s="16" t="s">
        <v>491</v>
      </c>
      <c r="D80" s="16" t="s">
        <v>496</v>
      </c>
      <c r="E80" s="16" t="s">
        <v>497</v>
      </c>
      <c r="F80" s="16" t="s">
        <v>498</v>
      </c>
      <c r="G80" s="16"/>
      <c r="H80" s="15" t="s">
        <v>393</v>
      </c>
      <c r="I80" s="17" t="s">
        <v>369</v>
      </c>
      <c r="J80" s="18">
        <v>0</v>
      </c>
      <c r="K80" s="15" t="s">
        <v>50</v>
      </c>
      <c r="L80" s="16"/>
      <c r="M80" s="17"/>
      <c r="N80" s="19"/>
      <c r="O80" s="16"/>
      <c r="P80" s="16"/>
    </row>
    <row r="81" spans="1:16" ht="25" x14ac:dyDescent="0.35">
      <c r="A81" s="15" t="s">
        <v>499</v>
      </c>
      <c r="B81" s="16" t="s">
        <v>25</v>
      </c>
      <c r="C81" s="16" t="s">
        <v>421</v>
      </c>
      <c r="D81" s="16" t="s">
        <v>500</v>
      </c>
      <c r="E81" s="16" t="s">
        <v>501</v>
      </c>
      <c r="F81" s="16" t="s">
        <v>502</v>
      </c>
      <c r="G81" s="16"/>
      <c r="H81" s="15" t="s">
        <v>393</v>
      </c>
      <c r="I81" s="17" t="s">
        <v>369</v>
      </c>
      <c r="J81" s="18">
        <v>0</v>
      </c>
      <c r="K81" s="15" t="s">
        <v>50</v>
      </c>
      <c r="L81" s="16"/>
      <c r="M81" s="17"/>
      <c r="N81" s="19"/>
      <c r="O81" s="16"/>
      <c r="P81" s="16"/>
    </row>
    <row r="82" spans="1:16" ht="25" x14ac:dyDescent="0.35">
      <c r="A82" s="15" t="s">
        <v>503</v>
      </c>
      <c r="B82" s="16" t="s">
        <v>25</v>
      </c>
      <c r="C82" s="16" t="s">
        <v>172</v>
      </c>
      <c r="D82" s="16" t="s">
        <v>504</v>
      </c>
      <c r="E82" s="16" t="s">
        <v>505</v>
      </c>
      <c r="F82" s="16" t="s">
        <v>506</v>
      </c>
      <c r="G82" s="16"/>
      <c r="H82" s="15" t="s">
        <v>393</v>
      </c>
      <c r="I82" s="17" t="s">
        <v>369</v>
      </c>
      <c r="J82" s="18">
        <v>0</v>
      </c>
      <c r="K82" s="15" t="s">
        <v>382</v>
      </c>
      <c r="L82" s="16"/>
      <c r="M82" s="17"/>
      <c r="N82" s="19"/>
      <c r="O82" s="16"/>
      <c r="P82" s="16"/>
    </row>
    <row r="83" spans="1:16" ht="25" x14ac:dyDescent="0.35">
      <c r="A83" s="15" t="s">
        <v>507</v>
      </c>
      <c r="B83" s="16" t="s">
        <v>25</v>
      </c>
      <c r="C83" s="16" t="s">
        <v>172</v>
      </c>
      <c r="D83" s="16" t="s">
        <v>508</v>
      </c>
      <c r="E83" s="16" t="s">
        <v>509</v>
      </c>
      <c r="F83" s="16" t="s">
        <v>510</v>
      </c>
      <c r="G83" s="16"/>
      <c r="H83" s="15" t="s">
        <v>393</v>
      </c>
      <c r="I83" s="17" t="s">
        <v>369</v>
      </c>
      <c r="J83" s="18">
        <v>0</v>
      </c>
      <c r="K83" s="15" t="s">
        <v>50</v>
      </c>
      <c r="L83" s="16"/>
      <c r="M83" s="17"/>
      <c r="N83" s="19"/>
      <c r="O83" s="16"/>
      <c r="P83" s="16"/>
    </row>
    <row r="84" spans="1:16" ht="25" x14ac:dyDescent="0.35">
      <c r="A84" s="15" t="s">
        <v>511</v>
      </c>
      <c r="B84" s="16" t="s">
        <v>25</v>
      </c>
      <c r="C84" s="16" t="s">
        <v>373</v>
      </c>
      <c r="D84" s="16" t="s">
        <v>512</v>
      </c>
      <c r="E84" s="16" t="s">
        <v>513</v>
      </c>
      <c r="F84" s="16" t="s">
        <v>514</v>
      </c>
      <c r="G84" s="16"/>
      <c r="H84" s="15" t="s">
        <v>393</v>
      </c>
      <c r="I84" s="17" t="s">
        <v>369</v>
      </c>
      <c r="J84" s="18">
        <v>0</v>
      </c>
      <c r="K84" s="15" t="s">
        <v>50</v>
      </c>
      <c r="L84" s="16"/>
      <c r="M84" s="17"/>
      <c r="N84" s="19"/>
      <c r="O84" s="16"/>
      <c r="P84" s="16"/>
    </row>
    <row r="85" spans="1:16" ht="25" x14ac:dyDescent="0.35">
      <c r="A85" s="15" t="s">
        <v>515</v>
      </c>
      <c r="B85" s="16" t="s">
        <v>25</v>
      </c>
      <c r="C85" s="16" t="s">
        <v>462</v>
      </c>
      <c r="D85" s="16" t="s">
        <v>516</v>
      </c>
      <c r="E85" s="16" t="s">
        <v>517</v>
      </c>
      <c r="F85" s="16" t="s">
        <v>518</v>
      </c>
      <c r="G85" s="16"/>
      <c r="H85" s="15" t="s">
        <v>393</v>
      </c>
      <c r="I85" s="17" t="s">
        <v>369</v>
      </c>
      <c r="J85" s="18">
        <v>0</v>
      </c>
      <c r="K85" s="15" t="s">
        <v>382</v>
      </c>
      <c r="L85" s="16"/>
      <c r="M85" s="17"/>
      <c r="N85" s="19"/>
      <c r="O85" s="16"/>
      <c r="P85" s="16"/>
    </row>
    <row r="86" spans="1:16" ht="25" x14ac:dyDescent="0.35">
      <c r="A86" s="15" t="s">
        <v>519</v>
      </c>
      <c r="B86" s="16" t="s">
        <v>25</v>
      </c>
      <c r="C86" s="16" t="s">
        <v>172</v>
      </c>
      <c r="D86" s="16" t="s">
        <v>520</v>
      </c>
      <c r="E86" s="16" t="s">
        <v>521</v>
      </c>
      <c r="F86" s="16" t="s">
        <v>133</v>
      </c>
      <c r="G86" s="16"/>
      <c r="H86" s="15" t="s">
        <v>393</v>
      </c>
      <c r="I86" s="17" t="s">
        <v>369</v>
      </c>
      <c r="J86" s="18">
        <v>0</v>
      </c>
      <c r="K86" s="15" t="s">
        <v>50</v>
      </c>
      <c r="L86" s="16"/>
      <c r="M86" s="17"/>
      <c r="N86" s="19"/>
      <c r="O86" s="16"/>
      <c r="P86" s="16"/>
    </row>
    <row r="87" spans="1:16" ht="25" x14ac:dyDescent="0.35">
      <c r="A87" s="15" t="s">
        <v>522</v>
      </c>
      <c r="B87" s="16" t="s">
        <v>25</v>
      </c>
      <c r="C87" s="16" t="s">
        <v>18</v>
      </c>
      <c r="D87" s="16" t="s">
        <v>523</v>
      </c>
      <c r="E87" s="16" t="s">
        <v>484</v>
      </c>
      <c r="F87" s="16" t="s">
        <v>334</v>
      </c>
      <c r="G87" s="16"/>
      <c r="H87" s="15" t="s">
        <v>393</v>
      </c>
      <c r="I87" s="17" t="s">
        <v>369</v>
      </c>
      <c r="J87" s="18">
        <v>0</v>
      </c>
      <c r="K87" s="15" t="s">
        <v>50</v>
      </c>
      <c r="L87" s="16"/>
      <c r="M87" s="17"/>
      <c r="N87" s="19"/>
      <c r="O87" s="16"/>
      <c r="P87" s="16"/>
    </row>
    <row r="88" spans="1:16" ht="25" x14ac:dyDescent="0.35">
      <c r="A88" s="15" t="s">
        <v>524</v>
      </c>
      <c r="B88" s="16" t="s">
        <v>26</v>
      </c>
      <c r="C88" s="16" t="s">
        <v>137</v>
      </c>
      <c r="D88" s="16" t="s">
        <v>525</v>
      </c>
      <c r="E88" s="16" t="s">
        <v>526</v>
      </c>
      <c r="F88" s="16" t="s">
        <v>527</v>
      </c>
      <c r="G88" s="16"/>
      <c r="H88" s="15" t="s">
        <v>528</v>
      </c>
      <c r="I88" s="17" t="s">
        <v>369</v>
      </c>
      <c r="J88" s="18">
        <v>0</v>
      </c>
      <c r="K88" s="15" t="s">
        <v>382</v>
      </c>
      <c r="L88" s="16"/>
      <c r="M88" s="17"/>
      <c r="N88" s="19"/>
      <c r="O88" s="16"/>
      <c r="P88" s="16"/>
    </row>
    <row r="89" spans="1:16" ht="25" x14ac:dyDescent="0.35">
      <c r="A89" s="15" t="s">
        <v>529</v>
      </c>
      <c r="B89" s="16" t="s">
        <v>26</v>
      </c>
      <c r="C89" s="16" t="s">
        <v>137</v>
      </c>
      <c r="D89" s="16" t="s">
        <v>530</v>
      </c>
      <c r="E89" s="16" t="s">
        <v>531</v>
      </c>
      <c r="F89" s="16" t="s">
        <v>532</v>
      </c>
      <c r="G89" s="16"/>
      <c r="H89" s="15" t="s">
        <v>528</v>
      </c>
      <c r="I89" s="17" t="s">
        <v>369</v>
      </c>
      <c r="J89" s="18">
        <v>0</v>
      </c>
      <c r="K89" s="15" t="s">
        <v>382</v>
      </c>
      <c r="L89" s="16"/>
      <c r="M89" s="17"/>
      <c r="N89" s="19"/>
      <c r="O89" s="16"/>
      <c r="P89" s="16"/>
    </row>
    <row r="90" spans="1:16" ht="25" x14ac:dyDescent="0.35">
      <c r="A90" s="15" t="s">
        <v>533</v>
      </c>
      <c r="B90" s="16" t="s">
        <v>26</v>
      </c>
      <c r="C90" s="16" t="s">
        <v>137</v>
      </c>
      <c r="D90" s="16" t="s">
        <v>534</v>
      </c>
      <c r="E90" s="16" t="s">
        <v>535</v>
      </c>
      <c r="F90" s="16" t="s">
        <v>532</v>
      </c>
      <c r="G90" s="16"/>
      <c r="H90" s="15" t="s">
        <v>528</v>
      </c>
      <c r="I90" s="17" t="s">
        <v>369</v>
      </c>
      <c r="J90" s="18">
        <v>0</v>
      </c>
      <c r="K90" s="15" t="s">
        <v>382</v>
      </c>
      <c r="L90" s="16"/>
      <c r="M90" s="17"/>
      <c r="N90" s="19"/>
      <c r="O90" s="16"/>
      <c r="P90" s="16"/>
    </row>
    <row r="91" spans="1:16" ht="25" x14ac:dyDescent="0.35">
      <c r="A91" s="15" t="s">
        <v>536</v>
      </c>
      <c r="B91" s="16" t="s">
        <v>26</v>
      </c>
      <c r="C91" s="16" t="s">
        <v>85</v>
      </c>
      <c r="D91" s="16" t="s">
        <v>537</v>
      </c>
      <c r="E91" s="16" t="s">
        <v>538</v>
      </c>
      <c r="F91" s="16" t="s">
        <v>539</v>
      </c>
      <c r="G91" s="16"/>
      <c r="H91" s="15" t="s">
        <v>528</v>
      </c>
      <c r="I91" s="17" t="s">
        <v>369</v>
      </c>
      <c r="J91" s="18">
        <v>0</v>
      </c>
      <c r="K91" s="15" t="s">
        <v>50</v>
      </c>
      <c r="L91" s="16"/>
      <c r="M91" s="17"/>
      <c r="N91" s="19"/>
      <c r="O91" s="16"/>
      <c r="P91" s="16"/>
    </row>
    <row r="92" spans="1:16" ht="25" x14ac:dyDescent="0.35">
      <c r="A92" s="15" t="s">
        <v>540</v>
      </c>
      <c r="B92" s="16" t="s">
        <v>26</v>
      </c>
      <c r="C92" s="16" t="s">
        <v>85</v>
      </c>
      <c r="D92" s="16" t="s">
        <v>541</v>
      </c>
      <c r="E92" s="16" t="s">
        <v>542</v>
      </c>
      <c r="F92" s="16" t="s">
        <v>539</v>
      </c>
      <c r="G92" s="16"/>
      <c r="H92" s="15" t="s">
        <v>528</v>
      </c>
      <c r="I92" s="17" t="s">
        <v>369</v>
      </c>
      <c r="J92" s="18">
        <v>0</v>
      </c>
      <c r="K92" s="15" t="s">
        <v>451</v>
      </c>
      <c r="L92" s="16"/>
      <c r="M92" s="17"/>
      <c r="N92" s="19"/>
      <c r="O92" s="16"/>
      <c r="P92" s="16"/>
    </row>
    <row r="93" spans="1:16" ht="25" x14ac:dyDescent="0.35">
      <c r="A93" s="15" t="s">
        <v>543</v>
      </c>
      <c r="B93" s="16" t="s">
        <v>26</v>
      </c>
      <c r="C93" s="16" t="s">
        <v>85</v>
      </c>
      <c r="D93" s="16" t="s">
        <v>544</v>
      </c>
      <c r="E93" s="16" t="s">
        <v>545</v>
      </c>
      <c r="F93" s="16" t="s">
        <v>539</v>
      </c>
      <c r="G93" s="16"/>
      <c r="H93" s="15" t="s">
        <v>528</v>
      </c>
      <c r="I93" s="17" t="s">
        <v>369</v>
      </c>
      <c r="J93" s="18">
        <v>0</v>
      </c>
      <c r="K93" s="15" t="s">
        <v>451</v>
      </c>
      <c r="L93" s="16"/>
      <c r="M93" s="17"/>
      <c r="N93" s="19"/>
      <c r="O93" s="16"/>
      <c r="P93" s="16"/>
    </row>
    <row r="94" spans="1:16" ht="25" x14ac:dyDescent="0.35">
      <c r="A94" s="15" t="s">
        <v>546</v>
      </c>
      <c r="B94" s="16" t="s">
        <v>26</v>
      </c>
      <c r="C94" s="16" t="s">
        <v>85</v>
      </c>
      <c r="D94" s="16" t="s">
        <v>547</v>
      </c>
      <c r="E94" s="16" t="s">
        <v>548</v>
      </c>
      <c r="F94" s="16" t="s">
        <v>539</v>
      </c>
      <c r="G94" s="16"/>
      <c r="H94" s="15" t="s">
        <v>528</v>
      </c>
      <c r="I94" s="17" t="s">
        <v>369</v>
      </c>
      <c r="J94" s="18">
        <v>0</v>
      </c>
      <c r="K94" s="15" t="s">
        <v>382</v>
      </c>
      <c r="L94" s="16"/>
      <c r="M94" s="17"/>
      <c r="N94" s="19"/>
      <c r="O94" s="16"/>
      <c r="P94" s="16"/>
    </row>
    <row r="95" spans="1:16" ht="25" x14ac:dyDescent="0.35">
      <c r="A95" s="15" t="s">
        <v>549</v>
      </c>
      <c r="B95" s="16" t="s">
        <v>26</v>
      </c>
      <c r="C95" s="16" t="s">
        <v>85</v>
      </c>
      <c r="D95" s="16" t="s">
        <v>550</v>
      </c>
      <c r="E95" s="16" t="s">
        <v>551</v>
      </c>
      <c r="F95" s="16" t="s">
        <v>539</v>
      </c>
      <c r="G95" s="16"/>
      <c r="H95" s="15" t="s">
        <v>528</v>
      </c>
      <c r="I95" s="17" t="s">
        <v>369</v>
      </c>
      <c r="J95" s="18">
        <v>0</v>
      </c>
      <c r="K95" s="15" t="s">
        <v>382</v>
      </c>
      <c r="L95" s="16" t="s">
        <v>552</v>
      </c>
      <c r="M95" s="17"/>
      <c r="N95" s="19"/>
      <c r="O95" s="16"/>
      <c r="P95" s="16"/>
    </row>
    <row r="96" spans="1:16" ht="25" x14ac:dyDescent="0.35">
      <c r="A96" s="15" t="s">
        <v>553</v>
      </c>
      <c r="B96" s="16" t="s">
        <v>26</v>
      </c>
      <c r="C96" s="16" t="s">
        <v>85</v>
      </c>
      <c r="D96" s="16" t="s">
        <v>554</v>
      </c>
      <c r="E96" s="16" t="s">
        <v>555</v>
      </c>
      <c r="F96" s="16" t="s">
        <v>556</v>
      </c>
      <c r="G96" s="16"/>
      <c r="H96" s="15" t="s">
        <v>528</v>
      </c>
      <c r="I96" s="17" t="s">
        <v>369</v>
      </c>
      <c r="J96" s="18">
        <v>0</v>
      </c>
      <c r="K96" s="15" t="s">
        <v>451</v>
      </c>
      <c r="L96" s="16"/>
      <c r="M96" s="17"/>
      <c r="N96" s="19"/>
      <c r="O96" s="16"/>
      <c r="P96" s="16"/>
    </row>
    <row r="97" spans="1:16" ht="25" x14ac:dyDescent="0.35">
      <c r="A97" s="15" t="s">
        <v>557</v>
      </c>
      <c r="B97" s="16" t="s">
        <v>26</v>
      </c>
      <c r="C97" s="16" t="s">
        <v>85</v>
      </c>
      <c r="D97" s="16" t="s">
        <v>558</v>
      </c>
      <c r="E97" s="16" t="s">
        <v>559</v>
      </c>
      <c r="F97" s="16" t="s">
        <v>560</v>
      </c>
      <c r="G97" s="16"/>
      <c r="H97" s="15" t="s">
        <v>528</v>
      </c>
      <c r="I97" s="17" t="s">
        <v>369</v>
      </c>
      <c r="J97" s="18">
        <v>0</v>
      </c>
      <c r="K97" s="15" t="s">
        <v>382</v>
      </c>
      <c r="L97" s="16"/>
      <c r="M97" s="17"/>
      <c r="N97" s="19"/>
      <c r="O97" s="16"/>
      <c r="P97" s="16"/>
    </row>
    <row r="98" spans="1:16" ht="25" x14ac:dyDescent="0.35">
      <c r="A98" s="15" t="s">
        <v>561</v>
      </c>
      <c r="B98" s="16" t="s">
        <v>26</v>
      </c>
      <c r="C98" s="16" t="s">
        <v>562</v>
      </c>
      <c r="D98" s="16" t="s">
        <v>563</v>
      </c>
      <c r="E98" s="16" t="s">
        <v>564</v>
      </c>
      <c r="F98" s="16" t="s">
        <v>565</v>
      </c>
      <c r="G98" s="16"/>
      <c r="H98" s="15" t="s">
        <v>528</v>
      </c>
      <c r="I98" s="17" t="s">
        <v>369</v>
      </c>
      <c r="J98" s="18">
        <v>0</v>
      </c>
      <c r="K98" s="15" t="s">
        <v>50</v>
      </c>
      <c r="L98" s="16"/>
      <c r="M98" s="17"/>
      <c r="N98" s="19"/>
      <c r="O98" s="16"/>
      <c r="P98" s="16"/>
    </row>
    <row r="99" spans="1:16" ht="25" x14ac:dyDescent="0.35">
      <c r="A99" s="15" t="s">
        <v>566</v>
      </c>
      <c r="B99" s="16" t="s">
        <v>26</v>
      </c>
      <c r="C99" s="16" t="s">
        <v>562</v>
      </c>
      <c r="D99" s="16" t="s">
        <v>567</v>
      </c>
      <c r="E99" s="16" t="s">
        <v>568</v>
      </c>
      <c r="F99" s="16" t="s">
        <v>569</v>
      </c>
      <c r="G99" s="16"/>
      <c r="H99" s="15" t="s">
        <v>528</v>
      </c>
      <c r="I99" s="17" t="s">
        <v>369</v>
      </c>
      <c r="J99" s="18">
        <v>0</v>
      </c>
      <c r="K99" s="15" t="s">
        <v>50</v>
      </c>
      <c r="L99" s="16"/>
      <c r="M99" s="17"/>
      <c r="N99" s="19"/>
      <c r="O99" s="16"/>
      <c r="P99" s="16"/>
    </row>
    <row r="100" spans="1:16" ht="25" x14ac:dyDescent="0.35">
      <c r="A100" s="15" t="s">
        <v>570</v>
      </c>
      <c r="B100" s="16" t="s">
        <v>26</v>
      </c>
      <c r="C100" s="16" t="s">
        <v>435</v>
      </c>
      <c r="D100" s="16" t="s">
        <v>571</v>
      </c>
      <c r="E100" s="16" t="s">
        <v>572</v>
      </c>
      <c r="F100" s="16" t="s">
        <v>573</v>
      </c>
      <c r="G100" s="16"/>
      <c r="H100" s="15" t="s">
        <v>528</v>
      </c>
      <c r="I100" s="17" t="s">
        <v>369</v>
      </c>
      <c r="J100" s="18">
        <v>0</v>
      </c>
      <c r="K100" s="15" t="s">
        <v>50</v>
      </c>
      <c r="L100" s="16"/>
      <c r="M100" s="17"/>
      <c r="N100" s="19"/>
      <c r="O100" s="16"/>
      <c r="P100" s="16"/>
    </row>
    <row r="101" spans="1:16" ht="25" x14ac:dyDescent="0.35">
      <c r="A101" s="15" t="s">
        <v>574</v>
      </c>
      <c r="B101" s="16" t="s">
        <v>26</v>
      </c>
      <c r="C101" s="16" t="s">
        <v>18</v>
      </c>
      <c r="D101" s="16" t="s">
        <v>575</v>
      </c>
      <c r="E101" s="16" t="s">
        <v>484</v>
      </c>
      <c r="F101" s="16" t="s">
        <v>334</v>
      </c>
      <c r="G101" s="16"/>
      <c r="H101" s="15" t="s">
        <v>528</v>
      </c>
      <c r="I101" s="17" t="s">
        <v>369</v>
      </c>
      <c r="J101" s="18">
        <v>0</v>
      </c>
      <c r="K101" s="15" t="s">
        <v>50</v>
      </c>
      <c r="L101" s="16"/>
      <c r="M101" s="17"/>
      <c r="N101" s="19"/>
      <c r="O101" s="16"/>
      <c r="P101" s="16"/>
    </row>
  </sheetData>
  <autoFilter ref="A1:P101" xr:uid="{00000000-0009-0000-0000-000001000000}"/>
  <conditionalFormatting sqref="I2:I251">
    <cfRule type="cellIs" dxfId="18" priority="1" operator="equal">
      <formula>"Completed"</formula>
    </cfRule>
    <cfRule type="cellIs" dxfId="17" priority="2" operator="equal">
      <formula>"In Progress"</formula>
    </cfRule>
    <cfRule type="cellIs" dxfId="16" priority="3" operator="equal">
      <formula>"Not Started"</formula>
    </cfRule>
    <cfRule type="cellIs" dxfId="15" priority="4" operator="equal">
      <formula>"Blocked"</formula>
    </cfRule>
  </conditionalFormatting>
  <dataValidations count="3">
    <dataValidation type="list" sqref="I2:I251" xr:uid="{00000000-0002-0000-0100-000000000000}">
      <formula1>"Completed,In Progress,Not Started,Blocked"</formula1>
    </dataValidation>
    <dataValidation type="list" sqref="H2:H251" xr:uid="{00000000-0002-0000-0100-000001000000}">
      <formula1>"P0,P1,P2"</formula1>
    </dataValidation>
    <dataValidation type="decimal" sqref="J2:J251" xr:uid="{00000000-0002-0000-0100-000002000000}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8" customWidth="1"/>
    <col min="3" max="3" width="42" customWidth="1"/>
    <col min="4" max="4" width="26" customWidth="1"/>
    <col min="5" max="5" width="20" customWidth="1"/>
    <col min="6" max="6" width="8" customWidth="1"/>
    <col min="7" max="7" width="22" customWidth="1"/>
    <col min="8" max="8" width="13" customWidth="1"/>
    <col min="9" max="9" width="60" customWidth="1"/>
  </cols>
  <sheetData>
    <row r="1" spans="1:9" ht="18" x14ac:dyDescent="0.4">
      <c r="A1" s="20" t="s">
        <v>576</v>
      </c>
    </row>
    <row r="2" spans="1:9" x14ac:dyDescent="0.35">
      <c r="A2" s="2" t="s">
        <v>577</v>
      </c>
    </row>
    <row r="4" spans="1:9" x14ac:dyDescent="0.35">
      <c r="A4" s="8" t="s">
        <v>578</v>
      </c>
      <c r="B4" s="8" t="s">
        <v>28</v>
      </c>
      <c r="C4" s="8" t="s">
        <v>30</v>
      </c>
      <c r="D4" s="8" t="s">
        <v>18</v>
      </c>
      <c r="E4" s="8" t="s">
        <v>32</v>
      </c>
      <c r="F4" s="8" t="s">
        <v>579</v>
      </c>
      <c r="G4" s="8" t="s">
        <v>38</v>
      </c>
      <c r="H4" s="8" t="s">
        <v>35</v>
      </c>
      <c r="I4" s="8" t="s">
        <v>31</v>
      </c>
    </row>
    <row r="5" spans="1:9" x14ac:dyDescent="0.35">
      <c r="A5" s="15">
        <v>1</v>
      </c>
      <c r="B5" s="15" t="str">
        <f>IFERROR(INDEX('Task Tracker'!$A$2:$A$251,MATCH($A5,'Task Tracker'!$M$2:$M$251,0)),"")</f>
        <v>T-051</v>
      </c>
      <c r="C5" s="16" t="str">
        <f>IFERROR(INDEX('Task Tracker'!$D$2:$D$251,MATCH($A5,'Task Tracker'!$M$2:$M$251,0)),"")</f>
        <v>PR comment + live verification via GitHub App</v>
      </c>
      <c r="D5" s="16" t="str">
        <f>IFERROR(INDEX('Task Tracker'!$B$2:$B$251,MATCH($A5,'Task Tracker'!$M$2:$M$251,0)),"")</f>
        <v>R1 Platform foundation &amp; cross-repo impact</v>
      </c>
      <c r="E5" s="16" t="str">
        <f>IFERROR(INDEX('Task Tracker'!$F$2:$F$251,MATCH($A5,'Task Tracker'!$M$2:$M$251,0)),"")</f>
        <v>FR-035 AC-020</v>
      </c>
      <c r="F5" s="15" t="str">
        <f>IFERROR(INDEX('Task Tracker'!$K$2:$K$251,MATCH($A5,'Task Tracker'!$M$2:$M$251,0)),"")</f>
        <v>S</v>
      </c>
      <c r="G5" s="16" t="str">
        <f>IFERROR(INDEX('Task Tracker'!$L$2:$L$251,MATCH($A5,'Task Tracker'!$M$2:$M$251,0)),"")</f>
        <v>GitHub App</v>
      </c>
      <c r="H5" s="15" t="str">
        <f>IFERROR(INDEX('Task Tracker'!$I$2:$I$251,MATCH($A5,'Task Tracker'!$M$2:$M$251,0)),"")</f>
        <v>Not Started</v>
      </c>
      <c r="I5" s="16" t="str">
        <f>IFERROR(INDEX('Task Tracker'!$E$2:$E$251,MATCH($A5,'Task Tracker'!$M$2:$M$251,0)),"")</f>
        <v>Update in place on push; never blocks merge.</v>
      </c>
    </row>
    <row r="6" spans="1:9" x14ac:dyDescent="0.35">
      <c r="A6" s="15">
        <v>2</v>
      </c>
      <c r="B6" s="15" t="str">
        <f>IFERROR(INDEX('Task Tracker'!$A$2:$A$251,MATCH($A6,'Task Tracker'!$M$2:$M$251,0)),"")</f>
        <v>T-052</v>
      </c>
      <c r="C6" s="16" t="str">
        <f>IFERROR(INDEX('Task Tracker'!$D$2:$D$251,MATCH($A6,'Task Tracker'!$M$2:$M$251,0)),"")</f>
        <v>Container images, Docker Compose, Helm chart</v>
      </c>
      <c r="D6" s="16" t="str">
        <f>IFERROR(INDEX('Task Tracker'!$B$2:$B$251,MATCH($A6,'Task Tracker'!$M$2:$M$251,0)),"")</f>
        <v>R1 Platform foundation &amp; cross-repo impact</v>
      </c>
      <c r="E6" s="16" t="str">
        <f>IFERROR(INDEX('Task Tracker'!$F$2:$F$251,MATCH($A6,'Task Tracker'!$M$2:$M$251,0)),"")</f>
        <v>PL-009</v>
      </c>
      <c r="F6" s="15" t="str">
        <f>IFERROR(INDEX('Task Tracker'!$K$2:$K$251,MATCH($A6,'Task Tracker'!$M$2:$M$251,0)),"")</f>
        <v>M</v>
      </c>
      <c r="G6" s="16" t="str">
        <f>IFERROR(INDEX('Task Tracker'!$L$2:$L$251,MATCH($A6,'Task Tracker'!$M$2:$M$251,0)),"")</f>
        <v>PostgreSQL, queue</v>
      </c>
      <c r="H6" s="15" t="str">
        <f>IFERROR(INDEX('Task Tracker'!$I$2:$I$251,MATCH($A6,'Task Tracker'!$M$2:$M$251,0)),"")</f>
        <v>Not Started</v>
      </c>
      <c r="I6" s="16" t="str">
        <f>IFERROR(INDEX('Task Tracker'!$E$2:$E$251,MATCH($A6,'Task Tracker'!$M$2:$M$251,0)),"")</f>
        <v>Images for SaaS and dedicated; documented data locations.</v>
      </c>
    </row>
    <row r="7" spans="1:9" x14ac:dyDescent="0.35">
      <c r="A7" s="15">
        <v>3</v>
      </c>
      <c r="B7" s="15" t="str">
        <f>IFERROR(INDEX('Task Tracker'!$A$2:$A$251,MATCH($A7,'Task Tracker'!$M$2:$M$251,0)),"")</f>
        <v>T-053</v>
      </c>
      <c r="C7" s="16" t="str">
        <f>IFERROR(INDEX('Task Tracker'!$D$2:$D$251,MATCH($A7,'Task Tracker'!$M$2:$M$251,0)),"")</f>
        <v>SaaS production environment (first region)</v>
      </c>
      <c r="D7" s="16" t="str">
        <f>IFERROR(INDEX('Task Tracker'!$B$2:$B$251,MATCH($A7,'Task Tracker'!$M$2:$M$251,0)),"")</f>
        <v>R1 Platform foundation &amp; cross-repo impact</v>
      </c>
      <c r="E7" s="16" t="str">
        <f>IFERROR(INDEX('Task Tracker'!$F$2:$F$251,MATCH($A7,'Task Tracker'!$M$2:$M$251,0)),"")</f>
        <v>PL-009 PL-007</v>
      </c>
      <c r="F7" s="15" t="str">
        <f>IFERROR(INDEX('Task Tracker'!$K$2:$K$251,MATCH($A7,'Task Tracker'!$M$2:$M$251,0)),"")</f>
        <v>L</v>
      </c>
      <c r="G7" s="16" t="str">
        <f>IFERROR(INDEX('Task Tracker'!$L$2:$L$251,MATCH($A7,'Task Tracker'!$M$2:$M$251,0)),"")</f>
        <v>Containers</v>
      </c>
      <c r="H7" s="15" t="str">
        <f>IFERROR(INDEX('Task Tracker'!$I$2:$I$251,MATCH($A7,'Task Tracker'!$M$2:$M$251,0)),"")</f>
        <v>Not Started</v>
      </c>
      <c r="I7" s="16" t="str">
        <f>IFERROR(INDEX('Task Tracker'!$E$2:$E$251,MATCH($A7,'Task Tracker'!$M$2:$M$251,0)),"")</f>
        <v>Infrastructure as code, gateway with tenant resolution and rate limits, managed PostgreSQL, evidence store, secrets, monitoring.</v>
      </c>
    </row>
    <row r="8" spans="1:9" x14ac:dyDescent="0.35">
      <c r="A8" s="15">
        <v>4</v>
      </c>
      <c r="B8" s="15" t="str">
        <f>IFERROR(INDEX('Task Tracker'!$A$2:$A$251,MATCH($A8,'Task Tracker'!$M$2:$M$251,0)),"")</f>
        <v>T-054</v>
      </c>
      <c r="C8" s="16" t="str">
        <f>IFERROR(INDEX('Task Tracker'!$D$2:$D$251,MATCH($A8,'Task Tracker'!$M$2:$M$251,0)),"")</f>
        <v>R1 release quality gate</v>
      </c>
      <c r="D8" s="16" t="str">
        <f>IFERROR(INDEX('Task Tracker'!$B$2:$B$251,MATCH($A8,'Task Tracker'!$M$2:$M$251,0)),"")</f>
        <v>R1 Platform foundation &amp; cross-repo impact</v>
      </c>
      <c r="E8" s="16" t="str">
        <f>IFERROR(INDEX('Task Tracker'!$F$2:$F$251,MATCH($A8,'Task Tracker'!$M$2:$M$251,0)),"")</f>
        <v>PRD-19</v>
      </c>
      <c r="F8" s="15" t="str">
        <f>IFERROR(INDEX('Task Tracker'!$K$2:$K$251,MATCH($A8,'Task Tracker'!$M$2:$M$251,0)),"")</f>
        <v>S</v>
      </c>
      <c r="G8" s="16" t="str">
        <f>IFERROR(INDEX('Task Tracker'!$L$2:$L$251,MATCH($A8,'Task Tracker'!$M$2:$M$251,0)),"")</f>
        <v>All R1 tasks</v>
      </c>
      <c r="H8" s="15" t="str">
        <f>IFERROR(INDEX('Task Tracker'!$I$2:$I$251,MATCH($A8,'Task Tracker'!$M$2:$M$251,0)),"")</f>
        <v>Not Started</v>
      </c>
      <c r="I8" s="16" t="str">
        <f>IFERROR(INDEX('Task Tracker'!$E$2:$E$251,MATCH($A8,'Task Tracker'!$M$2:$M$251,0)),"")</f>
        <v>All R1 ACs, accuracy, performance, security, operability, docs.</v>
      </c>
    </row>
    <row r="9" spans="1:9" x14ac:dyDescent="0.35">
      <c r="A9" s="15">
        <v>5</v>
      </c>
      <c r="B9" s="15" t="str">
        <f>IFERROR(INDEX('Task Tracker'!$A$2:$A$251,MATCH($A9,'Task Tracker'!$M$2:$M$251,0)),"")</f>
        <v/>
      </c>
      <c r="C9" s="16" t="str">
        <f>IFERROR(INDEX('Task Tracker'!$D$2:$D$251,MATCH($A9,'Task Tracker'!$M$2:$M$251,0)),"")</f>
        <v/>
      </c>
      <c r="D9" s="16" t="str">
        <f>IFERROR(INDEX('Task Tracker'!$B$2:$B$251,MATCH($A9,'Task Tracker'!$M$2:$M$251,0)),"")</f>
        <v/>
      </c>
      <c r="E9" s="16" t="str">
        <f>IFERROR(INDEX('Task Tracker'!$F$2:$F$251,MATCH($A9,'Task Tracker'!$M$2:$M$251,0)),"")</f>
        <v/>
      </c>
      <c r="F9" s="15" t="str">
        <f>IFERROR(INDEX('Task Tracker'!$K$2:$K$251,MATCH($A9,'Task Tracker'!$M$2:$M$251,0)),"")</f>
        <v/>
      </c>
      <c r="G9" s="16" t="str">
        <f>IFERROR(INDEX('Task Tracker'!$L$2:$L$251,MATCH($A9,'Task Tracker'!$M$2:$M$251,0)),"")</f>
        <v/>
      </c>
      <c r="H9" s="15" t="str">
        <f>IFERROR(INDEX('Task Tracker'!$I$2:$I$251,MATCH($A9,'Task Tracker'!$M$2:$M$251,0)),"")</f>
        <v/>
      </c>
      <c r="I9" s="16" t="str">
        <f>IFERROR(INDEX('Task Tracker'!$E$2:$E$251,MATCH($A9,'Task Tracker'!$M$2:$M$251,0)),"")</f>
        <v/>
      </c>
    </row>
    <row r="10" spans="1:9" x14ac:dyDescent="0.35">
      <c r="A10" s="15">
        <v>6</v>
      </c>
      <c r="B10" s="15" t="str">
        <f>IFERROR(INDEX('Task Tracker'!$A$2:$A$251,MATCH($A10,'Task Tracker'!$M$2:$M$251,0)),"")</f>
        <v/>
      </c>
      <c r="C10" s="16" t="str">
        <f>IFERROR(INDEX('Task Tracker'!$D$2:$D$251,MATCH($A10,'Task Tracker'!$M$2:$M$251,0)),"")</f>
        <v/>
      </c>
      <c r="D10" s="16" t="str">
        <f>IFERROR(INDEX('Task Tracker'!$B$2:$B$251,MATCH($A10,'Task Tracker'!$M$2:$M$251,0)),"")</f>
        <v/>
      </c>
      <c r="E10" s="16" t="str">
        <f>IFERROR(INDEX('Task Tracker'!$F$2:$F$251,MATCH($A10,'Task Tracker'!$M$2:$M$251,0)),"")</f>
        <v/>
      </c>
      <c r="F10" s="15" t="str">
        <f>IFERROR(INDEX('Task Tracker'!$K$2:$K$251,MATCH($A10,'Task Tracker'!$M$2:$M$251,0)),"")</f>
        <v/>
      </c>
      <c r="G10" s="16" t="str">
        <f>IFERROR(INDEX('Task Tracker'!$L$2:$L$251,MATCH($A10,'Task Tracker'!$M$2:$M$251,0)),"")</f>
        <v/>
      </c>
      <c r="H10" s="15" t="str">
        <f>IFERROR(INDEX('Task Tracker'!$I$2:$I$251,MATCH($A10,'Task Tracker'!$M$2:$M$251,0)),"")</f>
        <v/>
      </c>
      <c r="I10" s="16" t="str">
        <f>IFERROR(INDEX('Task Tracker'!$E$2:$E$251,MATCH($A10,'Task Tracker'!$M$2:$M$251,0)),"")</f>
        <v/>
      </c>
    </row>
    <row r="11" spans="1:9" x14ac:dyDescent="0.35">
      <c r="A11" s="15">
        <v>7</v>
      </c>
      <c r="B11" s="15" t="str">
        <f>IFERROR(INDEX('Task Tracker'!$A$2:$A$251,MATCH($A11,'Task Tracker'!$M$2:$M$251,0)),"")</f>
        <v/>
      </c>
      <c r="C11" s="16" t="str">
        <f>IFERROR(INDEX('Task Tracker'!$D$2:$D$251,MATCH($A11,'Task Tracker'!$M$2:$M$251,0)),"")</f>
        <v/>
      </c>
      <c r="D11" s="16" t="str">
        <f>IFERROR(INDEX('Task Tracker'!$B$2:$B$251,MATCH($A11,'Task Tracker'!$M$2:$M$251,0)),"")</f>
        <v/>
      </c>
      <c r="E11" s="16" t="str">
        <f>IFERROR(INDEX('Task Tracker'!$F$2:$F$251,MATCH($A11,'Task Tracker'!$M$2:$M$251,0)),"")</f>
        <v/>
      </c>
      <c r="F11" s="15" t="str">
        <f>IFERROR(INDEX('Task Tracker'!$K$2:$K$251,MATCH($A11,'Task Tracker'!$M$2:$M$251,0)),"")</f>
        <v/>
      </c>
      <c r="G11" s="16" t="str">
        <f>IFERROR(INDEX('Task Tracker'!$L$2:$L$251,MATCH($A11,'Task Tracker'!$M$2:$M$251,0)),"")</f>
        <v/>
      </c>
      <c r="H11" s="15" t="str">
        <f>IFERROR(INDEX('Task Tracker'!$I$2:$I$251,MATCH($A11,'Task Tracker'!$M$2:$M$251,0)),"")</f>
        <v/>
      </c>
      <c r="I11" s="16" t="str">
        <f>IFERROR(INDEX('Task Tracker'!$E$2:$E$251,MATCH($A11,'Task Tracker'!$M$2:$M$251,0)),"")</f>
        <v/>
      </c>
    </row>
    <row r="12" spans="1:9" x14ac:dyDescent="0.35">
      <c r="A12" s="15">
        <v>8</v>
      </c>
      <c r="B12" s="15" t="str">
        <f>IFERROR(INDEX('Task Tracker'!$A$2:$A$251,MATCH($A12,'Task Tracker'!$M$2:$M$251,0)),"")</f>
        <v/>
      </c>
      <c r="C12" s="16" t="str">
        <f>IFERROR(INDEX('Task Tracker'!$D$2:$D$251,MATCH($A12,'Task Tracker'!$M$2:$M$251,0)),"")</f>
        <v/>
      </c>
      <c r="D12" s="16" t="str">
        <f>IFERROR(INDEX('Task Tracker'!$B$2:$B$251,MATCH($A12,'Task Tracker'!$M$2:$M$251,0)),"")</f>
        <v/>
      </c>
      <c r="E12" s="16" t="str">
        <f>IFERROR(INDEX('Task Tracker'!$F$2:$F$251,MATCH($A12,'Task Tracker'!$M$2:$M$251,0)),"")</f>
        <v/>
      </c>
      <c r="F12" s="15" t="str">
        <f>IFERROR(INDEX('Task Tracker'!$K$2:$K$251,MATCH($A12,'Task Tracker'!$M$2:$M$251,0)),"")</f>
        <v/>
      </c>
      <c r="G12" s="16" t="str">
        <f>IFERROR(INDEX('Task Tracker'!$L$2:$L$251,MATCH($A12,'Task Tracker'!$M$2:$M$251,0)),"")</f>
        <v/>
      </c>
      <c r="H12" s="15" t="str">
        <f>IFERROR(INDEX('Task Tracker'!$I$2:$I$251,MATCH($A12,'Task Tracker'!$M$2:$M$251,0)),"")</f>
        <v/>
      </c>
      <c r="I12" s="16" t="str">
        <f>IFERROR(INDEX('Task Tracker'!$E$2:$E$251,MATCH($A12,'Task Tracker'!$M$2:$M$251,0)),"")</f>
        <v/>
      </c>
    </row>
    <row r="13" spans="1:9" x14ac:dyDescent="0.35">
      <c r="A13" s="15">
        <v>9</v>
      </c>
      <c r="B13" s="15" t="str">
        <f>IFERROR(INDEX('Task Tracker'!$A$2:$A$251,MATCH($A13,'Task Tracker'!$M$2:$M$251,0)),"")</f>
        <v/>
      </c>
      <c r="C13" s="16" t="str">
        <f>IFERROR(INDEX('Task Tracker'!$D$2:$D$251,MATCH($A13,'Task Tracker'!$M$2:$M$251,0)),"")</f>
        <v/>
      </c>
      <c r="D13" s="16" t="str">
        <f>IFERROR(INDEX('Task Tracker'!$B$2:$B$251,MATCH($A13,'Task Tracker'!$M$2:$M$251,0)),"")</f>
        <v/>
      </c>
      <c r="E13" s="16" t="str">
        <f>IFERROR(INDEX('Task Tracker'!$F$2:$F$251,MATCH($A13,'Task Tracker'!$M$2:$M$251,0)),"")</f>
        <v/>
      </c>
      <c r="F13" s="15" t="str">
        <f>IFERROR(INDEX('Task Tracker'!$K$2:$K$251,MATCH($A13,'Task Tracker'!$M$2:$M$251,0)),"")</f>
        <v/>
      </c>
      <c r="G13" s="16" t="str">
        <f>IFERROR(INDEX('Task Tracker'!$L$2:$L$251,MATCH($A13,'Task Tracker'!$M$2:$M$251,0)),"")</f>
        <v/>
      </c>
      <c r="H13" s="15" t="str">
        <f>IFERROR(INDEX('Task Tracker'!$I$2:$I$251,MATCH($A13,'Task Tracker'!$M$2:$M$251,0)),"")</f>
        <v/>
      </c>
      <c r="I13" s="16" t="str">
        <f>IFERROR(INDEX('Task Tracker'!$E$2:$E$251,MATCH($A13,'Task Tracker'!$M$2:$M$251,0)),"")</f>
        <v/>
      </c>
    </row>
    <row r="14" spans="1:9" x14ac:dyDescent="0.35">
      <c r="A14" s="15">
        <v>10</v>
      </c>
      <c r="B14" s="15" t="str">
        <f>IFERROR(INDEX('Task Tracker'!$A$2:$A$251,MATCH($A14,'Task Tracker'!$M$2:$M$251,0)),"")</f>
        <v/>
      </c>
      <c r="C14" s="16" t="str">
        <f>IFERROR(INDEX('Task Tracker'!$D$2:$D$251,MATCH($A14,'Task Tracker'!$M$2:$M$251,0)),"")</f>
        <v/>
      </c>
      <c r="D14" s="16" t="str">
        <f>IFERROR(INDEX('Task Tracker'!$B$2:$B$251,MATCH($A14,'Task Tracker'!$M$2:$M$251,0)),"")</f>
        <v/>
      </c>
      <c r="E14" s="16" t="str">
        <f>IFERROR(INDEX('Task Tracker'!$F$2:$F$251,MATCH($A14,'Task Tracker'!$M$2:$M$251,0)),"")</f>
        <v/>
      </c>
      <c r="F14" s="15" t="str">
        <f>IFERROR(INDEX('Task Tracker'!$K$2:$K$251,MATCH($A14,'Task Tracker'!$M$2:$M$251,0)),"")</f>
        <v/>
      </c>
      <c r="G14" s="16" t="str">
        <f>IFERROR(INDEX('Task Tracker'!$L$2:$L$251,MATCH($A14,'Task Tracker'!$M$2:$M$251,0)),"")</f>
        <v/>
      </c>
      <c r="H14" s="15" t="str">
        <f>IFERROR(INDEX('Task Tracker'!$I$2:$I$251,MATCH($A14,'Task Tracker'!$M$2:$M$251,0)),"")</f>
        <v/>
      </c>
      <c r="I14" s="16" t="str">
        <f>IFERROR(INDEX('Task Tracker'!$E$2:$E$251,MATCH($A14,'Task Tracker'!$M$2:$M$251,0)),"")</f>
        <v/>
      </c>
    </row>
    <row r="15" spans="1:9" x14ac:dyDescent="0.35">
      <c r="A15" s="15">
        <v>11</v>
      </c>
      <c r="B15" s="15" t="str">
        <f>IFERROR(INDEX('Task Tracker'!$A$2:$A$251,MATCH($A15,'Task Tracker'!$M$2:$M$251,0)),"")</f>
        <v/>
      </c>
      <c r="C15" s="16" t="str">
        <f>IFERROR(INDEX('Task Tracker'!$D$2:$D$251,MATCH($A15,'Task Tracker'!$M$2:$M$251,0)),"")</f>
        <v/>
      </c>
      <c r="D15" s="16" t="str">
        <f>IFERROR(INDEX('Task Tracker'!$B$2:$B$251,MATCH($A15,'Task Tracker'!$M$2:$M$251,0)),"")</f>
        <v/>
      </c>
      <c r="E15" s="16" t="str">
        <f>IFERROR(INDEX('Task Tracker'!$F$2:$F$251,MATCH($A15,'Task Tracker'!$M$2:$M$251,0)),"")</f>
        <v/>
      </c>
      <c r="F15" s="15" t="str">
        <f>IFERROR(INDEX('Task Tracker'!$K$2:$K$251,MATCH($A15,'Task Tracker'!$M$2:$M$251,0)),"")</f>
        <v/>
      </c>
      <c r="G15" s="16" t="str">
        <f>IFERROR(INDEX('Task Tracker'!$L$2:$L$251,MATCH($A15,'Task Tracker'!$M$2:$M$251,0)),"")</f>
        <v/>
      </c>
      <c r="H15" s="15" t="str">
        <f>IFERROR(INDEX('Task Tracker'!$I$2:$I$251,MATCH($A15,'Task Tracker'!$M$2:$M$251,0)),"")</f>
        <v/>
      </c>
      <c r="I15" s="16" t="str">
        <f>IFERROR(INDEX('Task Tracker'!$E$2:$E$251,MATCH($A15,'Task Tracker'!$M$2:$M$251,0)),"")</f>
        <v/>
      </c>
    </row>
    <row r="16" spans="1:9" x14ac:dyDescent="0.35">
      <c r="A16" s="15">
        <v>12</v>
      </c>
      <c r="B16" s="15" t="str">
        <f>IFERROR(INDEX('Task Tracker'!$A$2:$A$251,MATCH($A16,'Task Tracker'!$M$2:$M$251,0)),"")</f>
        <v/>
      </c>
      <c r="C16" s="16" t="str">
        <f>IFERROR(INDEX('Task Tracker'!$D$2:$D$251,MATCH($A16,'Task Tracker'!$M$2:$M$251,0)),"")</f>
        <v/>
      </c>
      <c r="D16" s="16" t="str">
        <f>IFERROR(INDEX('Task Tracker'!$B$2:$B$251,MATCH($A16,'Task Tracker'!$M$2:$M$251,0)),"")</f>
        <v/>
      </c>
      <c r="E16" s="16" t="str">
        <f>IFERROR(INDEX('Task Tracker'!$F$2:$F$251,MATCH($A16,'Task Tracker'!$M$2:$M$251,0)),"")</f>
        <v/>
      </c>
      <c r="F16" s="15" t="str">
        <f>IFERROR(INDEX('Task Tracker'!$K$2:$K$251,MATCH($A16,'Task Tracker'!$M$2:$M$251,0)),"")</f>
        <v/>
      </c>
      <c r="G16" s="16" t="str">
        <f>IFERROR(INDEX('Task Tracker'!$L$2:$L$251,MATCH($A16,'Task Tracker'!$M$2:$M$251,0)),"")</f>
        <v/>
      </c>
      <c r="H16" s="15" t="str">
        <f>IFERROR(INDEX('Task Tracker'!$I$2:$I$251,MATCH($A16,'Task Tracker'!$M$2:$M$251,0)),"")</f>
        <v/>
      </c>
      <c r="I16" s="16" t="str">
        <f>IFERROR(INDEX('Task Tracker'!$E$2:$E$251,MATCH($A16,'Task Tracker'!$M$2:$M$251,0)),"")</f>
        <v/>
      </c>
    </row>
    <row r="17" spans="1:9" x14ac:dyDescent="0.35">
      <c r="A17" s="15">
        <v>13</v>
      </c>
      <c r="B17" s="15" t="str">
        <f>IFERROR(INDEX('Task Tracker'!$A$2:$A$251,MATCH($A17,'Task Tracker'!$M$2:$M$251,0)),"")</f>
        <v/>
      </c>
      <c r="C17" s="16" t="str">
        <f>IFERROR(INDEX('Task Tracker'!$D$2:$D$251,MATCH($A17,'Task Tracker'!$M$2:$M$251,0)),"")</f>
        <v/>
      </c>
      <c r="D17" s="16" t="str">
        <f>IFERROR(INDEX('Task Tracker'!$B$2:$B$251,MATCH($A17,'Task Tracker'!$M$2:$M$251,0)),"")</f>
        <v/>
      </c>
      <c r="E17" s="16" t="str">
        <f>IFERROR(INDEX('Task Tracker'!$F$2:$F$251,MATCH($A17,'Task Tracker'!$M$2:$M$251,0)),"")</f>
        <v/>
      </c>
      <c r="F17" s="15" t="str">
        <f>IFERROR(INDEX('Task Tracker'!$K$2:$K$251,MATCH($A17,'Task Tracker'!$M$2:$M$251,0)),"")</f>
        <v/>
      </c>
      <c r="G17" s="16" t="str">
        <f>IFERROR(INDEX('Task Tracker'!$L$2:$L$251,MATCH($A17,'Task Tracker'!$M$2:$M$251,0)),"")</f>
        <v/>
      </c>
      <c r="H17" s="15" t="str">
        <f>IFERROR(INDEX('Task Tracker'!$I$2:$I$251,MATCH($A17,'Task Tracker'!$M$2:$M$251,0)),"")</f>
        <v/>
      </c>
      <c r="I17" s="16" t="str">
        <f>IFERROR(INDEX('Task Tracker'!$E$2:$E$251,MATCH($A17,'Task Tracker'!$M$2:$M$251,0)),"")</f>
        <v/>
      </c>
    </row>
    <row r="18" spans="1:9" x14ac:dyDescent="0.35">
      <c r="A18" s="15">
        <v>14</v>
      </c>
      <c r="B18" s="15" t="str">
        <f>IFERROR(INDEX('Task Tracker'!$A$2:$A$251,MATCH($A18,'Task Tracker'!$M$2:$M$251,0)),"")</f>
        <v/>
      </c>
      <c r="C18" s="16" t="str">
        <f>IFERROR(INDEX('Task Tracker'!$D$2:$D$251,MATCH($A18,'Task Tracker'!$M$2:$M$251,0)),"")</f>
        <v/>
      </c>
      <c r="D18" s="16" t="str">
        <f>IFERROR(INDEX('Task Tracker'!$B$2:$B$251,MATCH($A18,'Task Tracker'!$M$2:$M$251,0)),"")</f>
        <v/>
      </c>
      <c r="E18" s="16" t="str">
        <f>IFERROR(INDEX('Task Tracker'!$F$2:$F$251,MATCH($A18,'Task Tracker'!$M$2:$M$251,0)),"")</f>
        <v/>
      </c>
      <c r="F18" s="15" t="str">
        <f>IFERROR(INDEX('Task Tracker'!$K$2:$K$251,MATCH($A18,'Task Tracker'!$M$2:$M$251,0)),"")</f>
        <v/>
      </c>
      <c r="G18" s="16" t="str">
        <f>IFERROR(INDEX('Task Tracker'!$L$2:$L$251,MATCH($A18,'Task Tracker'!$M$2:$M$251,0)),"")</f>
        <v/>
      </c>
      <c r="H18" s="15" t="str">
        <f>IFERROR(INDEX('Task Tracker'!$I$2:$I$251,MATCH($A18,'Task Tracker'!$M$2:$M$251,0)),"")</f>
        <v/>
      </c>
      <c r="I18" s="16" t="str">
        <f>IFERROR(INDEX('Task Tracker'!$E$2:$E$251,MATCH($A18,'Task Tracker'!$M$2:$M$251,0)),"")</f>
        <v/>
      </c>
    </row>
    <row r="19" spans="1:9" x14ac:dyDescent="0.35">
      <c r="A19" s="15">
        <v>15</v>
      </c>
      <c r="B19" s="15" t="str">
        <f>IFERROR(INDEX('Task Tracker'!$A$2:$A$251,MATCH($A19,'Task Tracker'!$M$2:$M$251,0)),"")</f>
        <v/>
      </c>
      <c r="C19" s="16" t="str">
        <f>IFERROR(INDEX('Task Tracker'!$D$2:$D$251,MATCH($A19,'Task Tracker'!$M$2:$M$251,0)),"")</f>
        <v/>
      </c>
      <c r="D19" s="16" t="str">
        <f>IFERROR(INDEX('Task Tracker'!$B$2:$B$251,MATCH($A19,'Task Tracker'!$M$2:$M$251,0)),"")</f>
        <v/>
      </c>
      <c r="E19" s="16" t="str">
        <f>IFERROR(INDEX('Task Tracker'!$F$2:$F$251,MATCH($A19,'Task Tracker'!$M$2:$M$251,0)),"")</f>
        <v/>
      </c>
      <c r="F19" s="15" t="str">
        <f>IFERROR(INDEX('Task Tracker'!$K$2:$K$251,MATCH($A19,'Task Tracker'!$M$2:$M$251,0)),"")</f>
        <v/>
      </c>
      <c r="G19" s="16" t="str">
        <f>IFERROR(INDEX('Task Tracker'!$L$2:$L$251,MATCH($A19,'Task Tracker'!$M$2:$M$251,0)),"")</f>
        <v/>
      </c>
      <c r="H19" s="15" t="str">
        <f>IFERROR(INDEX('Task Tracker'!$I$2:$I$251,MATCH($A19,'Task Tracker'!$M$2:$M$251,0)),"")</f>
        <v/>
      </c>
      <c r="I19" s="16" t="str">
        <f>IFERROR(INDEX('Task Tracker'!$E$2:$E$251,MATCH($A19,'Task Tracker'!$M$2:$M$251,0)),"")</f>
        <v/>
      </c>
    </row>
    <row r="20" spans="1:9" x14ac:dyDescent="0.35">
      <c r="A20" s="15">
        <v>16</v>
      </c>
      <c r="B20" s="15" t="str">
        <f>IFERROR(INDEX('Task Tracker'!$A$2:$A$251,MATCH($A20,'Task Tracker'!$M$2:$M$251,0)),"")</f>
        <v/>
      </c>
      <c r="C20" s="16" t="str">
        <f>IFERROR(INDEX('Task Tracker'!$D$2:$D$251,MATCH($A20,'Task Tracker'!$M$2:$M$251,0)),"")</f>
        <v/>
      </c>
      <c r="D20" s="16" t="str">
        <f>IFERROR(INDEX('Task Tracker'!$B$2:$B$251,MATCH($A20,'Task Tracker'!$M$2:$M$251,0)),"")</f>
        <v/>
      </c>
      <c r="E20" s="16" t="str">
        <f>IFERROR(INDEX('Task Tracker'!$F$2:$F$251,MATCH($A20,'Task Tracker'!$M$2:$M$251,0)),"")</f>
        <v/>
      </c>
      <c r="F20" s="15" t="str">
        <f>IFERROR(INDEX('Task Tracker'!$K$2:$K$251,MATCH($A20,'Task Tracker'!$M$2:$M$251,0)),"")</f>
        <v/>
      </c>
      <c r="G20" s="16" t="str">
        <f>IFERROR(INDEX('Task Tracker'!$L$2:$L$251,MATCH($A20,'Task Tracker'!$M$2:$M$251,0)),"")</f>
        <v/>
      </c>
      <c r="H20" s="15" t="str">
        <f>IFERROR(INDEX('Task Tracker'!$I$2:$I$251,MATCH($A20,'Task Tracker'!$M$2:$M$251,0)),"")</f>
        <v/>
      </c>
      <c r="I20" s="16" t="str">
        <f>IFERROR(INDEX('Task Tracker'!$E$2:$E$251,MATCH($A20,'Task Tracker'!$M$2:$M$251,0)),"")</f>
        <v/>
      </c>
    </row>
    <row r="21" spans="1:9" x14ac:dyDescent="0.35">
      <c r="A21" s="15">
        <v>17</v>
      </c>
      <c r="B21" s="15" t="str">
        <f>IFERROR(INDEX('Task Tracker'!$A$2:$A$251,MATCH($A21,'Task Tracker'!$M$2:$M$251,0)),"")</f>
        <v/>
      </c>
      <c r="C21" s="16" t="str">
        <f>IFERROR(INDEX('Task Tracker'!$D$2:$D$251,MATCH($A21,'Task Tracker'!$M$2:$M$251,0)),"")</f>
        <v/>
      </c>
      <c r="D21" s="16" t="str">
        <f>IFERROR(INDEX('Task Tracker'!$B$2:$B$251,MATCH($A21,'Task Tracker'!$M$2:$M$251,0)),"")</f>
        <v/>
      </c>
      <c r="E21" s="16" t="str">
        <f>IFERROR(INDEX('Task Tracker'!$F$2:$F$251,MATCH($A21,'Task Tracker'!$M$2:$M$251,0)),"")</f>
        <v/>
      </c>
      <c r="F21" s="15" t="str">
        <f>IFERROR(INDEX('Task Tracker'!$K$2:$K$251,MATCH($A21,'Task Tracker'!$M$2:$M$251,0)),"")</f>
        <v/>
      </c>
      <c r="G21" s="16" t="str">
        <f>IFERROR(INDEX('Task Tracker'!$L$2:$L$251,MATCH($A21,'Task Tracker'!$M$2:$M$251,0)),"")</f>
        <v/>
      </c>
      <c r="H21" s="15" t="str">
        <f>IFERROR(INDEX('Task Tracker'!$I$2:$I$251,MATCH($A21,'Task Tracker'!$M$2:$M$251,0)),"")</f>
        <v/>
      </c>
      <c r="I21" s="16" t="str">
        <f>IFERROR(INDEX('Task Tracker'!$E$2:$E$251,MATCH($A21,'Task Tracker'!$M$2:$M$251,0)),"")</f>
        <v/>
      </c>
    </row>
    <row r="22" spans="1:9" x14ac:dyDescent="0.35">
      <c r="A22" s="15">
        <v>18</v>
      </c>
      <c r="B22" s="15" t="str">
        <f>IFERROR(INDEX('Task Tracker'!$A$2:$A$251,MATCH($A22,'Task Tracker'!$M$2:$M$251,0)),"")</f>
        <v/>
      </c>
      <c r="C22" s="16" t="str">
        <f>IFERROR(INDEX('Task Tracker'!$D$2:$D$251,MATCH($A22,'Task Tracker'!$M$2:$M$251,0)),"")</f>
        <v/>
      </c>
      <c r="D22" s="16" t="str">
        <f>IFERROR(INDEX('Task Tracker'!$B$2:$B$251,MATCH($A22,'Task Tracker'!$M$2:$M$251,0)),"")</f>
        <v/>
      </c>
      <c r="E22" s="16" t="str">
        <f>IFERROR(INDEX('Task Tracker'!$F$2:$F$251,MATCH($A22,'Task Tracker'!$M$2:$M$251,0)),"")</f>
        <v/>
      </c>
      <c r="F22" s="15" t="str">
        <f>IFERROR(INDEX('Task Tracker'!$K$2:$K$251,MATCH($A22,'Task Tracker'!$M$2:$M$251,0)),"")</f>
        <v/>
      </c>
      <c r="G22" s="16" t="str">
        <f>IFERROR(INDEX('Task Tracker'!$L$2:$L$251,MATCH($A22,'Task Tracker'!$M$2:$M$251,0)),"")</f>
        <v/>
      </c>
      <c r="H22" s="15" t="str">
        <f>IFERROR(INDEX('Task Tracker'!$I$2:$I$251,MATCH($A22,'Task Tracker'!$M$2:$M$251,0)),"")</f>
        <v/>
      </c>
      <c r="I22" s="16" t="str">
        <f>IFERROR(INDEX('Task Tracker'!$E$2:$E$251,MATCH($A22,'Task Tracker'!$M$2:$M$251,0)),"")</f>
        <v/>
      </c>
    </row>
    <row r="23" spans="1:9" x14ac:dyDescent="0.35">
      <c r="A23" s="15">
        <v>19</v>
      </c>
      <c r="B23" s="15" t="str">
        <f>IFERROR(INDEX('Task Tracker'!$A$2:$A$251,MATCH($A23,'Task Tracker'!$M$2:$M$251,0)),"")</f>
        <v/>
      </c>
      <c r="C23" s="16" t="str">
        <f>IFERROR(INDEX('Task Tracker'!$D$2:$D$251,MATCH($A23,'Task Tracker'!$M$2:$M$251,0)),"")</f>
        <v/>
      </c>
      <c r="D23" s="16" t="str">
        <f>IFERROR(INDEX('Task Tracker'!$B$2:$B$251,MATCH($A23,'Task Tracker'!$M$2:$M$251,0)),"")</f>
        <v/>
      </c>
      <c r="E23" s="16" t="str">
        <f>IFERROR(INDEX('Task Tracker'!$F$2:$F$251,MATCH($A23,'Task Tracker'!$M$2:$M$251,0)),"")</f>
        <v/>
      </c>
      <c r="F23" s="15" t="str">
        <f>IFERROR(INDEX('Task Tracker'!$K$2:$K$251,MATCH($A23,'Task Tracker'!$M$2:$M$251,0)),"")</f>
        <v/>
      </c>
      <c r="G23" s="16" t="str">
        <f>IFERROR(INDEX('Task Tracker'!$L$2:$L$251,MATCH($A23,'Task Tracker'!$M$2:$M$251,0)),"")</f>
        <v/>
      </c>
      <c r="H23" s="15" t="str">
        <f>IFERROR(INDEX('Task Tracker'!$I$2:$I$251,MATCH($A23,'Task Tracker'!$M$2:$M$251,0)),"")</f>
        <v/>
      </c>
      <c r="I23" s="16" t="str">
        <f>IFERROR(INDEX('Task Tracker'!$E$2:$E$251,MATCH($A23,'Task Tracker'!$M$2:$M$251,0)),"")</f>
        <v/>
      </c>
    </row>
    <row r="24" spans="1:9" x14ac:dyDescent="0.35">
      <c r="A24" s="15">
        <v>20</v>
      </c>
      <c r="B24" s="15" t="str">
        <f>IFERROR(INDEX('Task Tracker'!$A$2:$A$251,MATCH($A24,'Task Tracker'!$M$2:$M$251,0)),"")</f>
        <v/>
      </c>
      <c r="C24" s="16" t="str">
        <f>IFERROR(INDEX('Task Tracker'!$D$2:$D$251,MATCH($A24,'Task Tracker'!$M$2:$M$251,0)),"")</f>
        <v/>
      </c>
      <c r="D24" s="16" t="str">
        <f>IFERROR(INDEX('Task Tracker'!$B$2:$B$251,MATCH($A24,'Task Tracker'!$M$2:$M$251,0)),"")</f>
        <v/>
      </c>
      <c r="E24" s="16" t="str">
        <f>IFERROR(INDEX('Task Tracker'!$F$2:$F$251,MATCH($A24,'Task Tracker'!$M$2:$M$251,0)),"")</f>
        <v/>
      </c>
      <c r="F24" s="15" t="str">
        <f>IFERROR(INDEX('Task Tracker'!$K$2:$K$251,MATCH($A24,'Task Tracker'!$M$2:$M$251,0)),"")</f>
        <v/>
      </c>
      <c r="G24" s="16" t="str">
        <f>IFERROR(INDEX('Task Tracker'!$L$2:$L$251,MATCH($A24,'Task Tracker'!$M$2:$M$251,0)),"")</f>
        <v/>
      </c>
      <c r="H24" s="15" t="str">
        <f>IFERROR(INDEX('Task Tracker'!$I$2:$I$251,MATCH($A24,'Task Tracker'!$M$2:$M$251,0)),"")</f>
        <v/>
      </c>
      <c r="I24" s="16" t="str">
        <f>IFERROR(INDEX('Task Tracker'!$E$2:$E$251,MATCH($A24,'Task Tracker'!$M$2:$M$251,0)),"")</f>
        <v/>
      </c>
    </row>
    <row r="25" spans="1:9" x14ac:dyDescent="0.35">
      <c r="A25" s="15">
        <v>21</v>
      </c>
      <c r="B25" s="15" t="str">
        <f>IFERROR(INDEX('Task Tracker'!$A$2:$A$251,MATCH($A25,'Task Tracker'!$M$2:$M$251,0)),"")</f>
        <v/>
      </c>
      <c r="C25" s="16" t="str">
        <f>IFERROR(INDEX('Task Tracker'!$D$2:$D$251,MATCH($A25,'Task Tracker'!$M$2:$M$251,0)),"")</f>
        <v/>
      </c>
      <c r="D25" s="16" t="str">
        <f>IFERROR(INDEX('Task Tracker'!$B$2:$B$251,MATCH($A25,'Task Tracker'!$M$2:$M$251,0)),"")</f>
        <v/>
      </c>
      <c r="E25" s="16" t="str">
        <f>IFERROR(INDEX('Task Tracker'!$F$2:$F$251,MATCH($A25,'Task Tracker'!$M$2:$M$251,0)),"")</f>
        <v/>
      </c>
      <c r="F25" s="15" t="str">
        <f>IFERROR(INDEX('Task Tracker'!$K$2:$K$251,MATCH($A25,'Task Tracker'!$M$2:$M$251,0)),"")</f>
        <v/>
      </c>
      <c r="G25" s="16" t="str">
        <f>IFERROR(INDEX('Task Tracker'!$L$2:$L$251,MATCH($A25,'Task Tracker'!$M$2:$M$251,0)),"")</f>
        <v/>
      </c>
      <c r="H25" s="15" t="str">
        <f>IFERROR(INDEX('Task Tracker'!$I$2:$I$251,MATCH($A25,'Task Tracker'!$M$2:$M$251,0)),"")</f>
        <v/>
      </c>
      <c r="I25" s="16" t="str">
        <f>IFERROR(INDEX('Task Tracker'!$E$2:$E$251,MATCH($A25,'Task Tracker'!$M$2:$M$251,0)),"")</f>
        <v/>
      </c>
    </row>
    <row r="26" spans="1:9" x14ac:dyDescent="0.35">
      <c r="A26" s="15">
        <v>22</v>
      </c>
      <c r="B26" s="15" t="str">
        <f>IFERROR(INDEX('Task Tracker'!$A$2:$A$251,MATCH($A26,'Task Tracker'!$M$2:$M$251,0)),"")</f>
        <v/>
      </c>
      <c r="C26" s="16" t="str">
        <f>IFERROR(INDEX('Task Tracker'!$D$2:$D$251,MATCH($A26,'Task Tracker'!$M$2:$M$251,0)),"")</f>
        <v/>
      </c>
      <c r="D26" s="16" t="str">
        <f>IFERROR(INDEX('Task Tracker'!$B$2:$B$251,MATCH($A26,'Task Tracker'!$M$2:$M$251,0)),"")</f>
        <v/>
      </c>
      <c r="E26" s="16" t="str">
        <f>IFERROR(INDEX('Task Tracker'!$F$2:$F$251,MATCH($A26,'Task Tracker'!$M$2:$M$251,0)),"")</f>
        <v/>
      </c>
      <c r="F26" s="15" t="str">
        <f>IFERROR(INDEX('Task Tracker'!$K$2:$K$251,MATCH($A26,'Task Tracker'!$M$2:$M$251,0)),"")</f>
        <v/>
      </c>
      <c r="G26" s="16" t="str">
        <f>IFERROR(INDEX('Task Tracker'!$L$2:$L$251,MATCH($A26,'Task Tracker'!$M$2:$M$251,0)),"")</f>
        <v/>
      </c>
      <c r="H26" s="15" t="str">
        <f>IFERROR(INDEX('Task Tracker'!$I$2:$I$251,MATCH($A26,'Task Tracker'!$M$2:$M$251,0)),"")</f>
        <v/>
      </c>
      <c r="I26" s="16" t="str">
        <f>IFERROR(INDEX('Task Tracker'!$E$2:$E$251,MATCH($A26,'Task Tracker'!$M$2:$M$251,0)),"")</f>
        <v/>
      </c>
    </row>
    <row r="27" spans="1:9" x14ac:dyDescent="0.35">
      <c r="A27" s="15">
        <v>23</v>
      </c>
      <c r="B27" s="15" t="str">
        <f>IFERROR(INDEX('Task Tracker'!$A$2:$A$251,MATCH($A27,'Task Tracker'!$M$2:$M$251,0)),"")</f>
        <v/>
      </c>
      <c r="C27" s="16" t="str">
        <f>IFERROR(INDEX('Task Tracker'!$D$2:$D$251,MATCH($A27,'Task Tracker'!$M$2:$M$251,0)),"")</f>
        <v/>
      </c>
      <c r="D27" s="16" t="str">
        <f>IFERROR(INDEX('Task Tracker'!$B$2:$B$251,MATCH($A27,'Task Tracker'!$M$2:$M$251,0)),"")</f>
        <v/>
      </c>
      <c r="E27" s="16" t="str">
        <f>IFERROR(INDEX('Task Tracker'!$F$2:$F$251,MATCH($A27,'Task Tracker'!$M$2:$M$251,0)),"")</f>
        <v/>
      </c>
      <c r="F27" s="15" t="str">
        <f>IFERROR(INDEX('Task Tracker'!$K$2:$K$251,MATCH($A27,'Task Tracker'!$M$2:$M$251,0)),"")</f>
        <v/>
      </c>
      <c r="G27" s="16" t="str">
        <f>IFERROR(INDEX('Task Tracker'!$L$2:$L$251,MATCH($A27,'Task Tracker'!$M$2:$M$251,0)),"")</f>
        <v/>
      </c>
      <c r="H27" s="15" t="str">
        <f>IFERROR(INDEX('Task Tracker'!$I$2:$I$251,MATCH($A27,'Task Tracker'!$M$2:$M$251,0)),"")</f>
        <v/>
      </c>
      <c r="I27" s="16" t="str">
        <f>IFERROR(INDEX('Task Tracker'!$E$2:$E$251,MATCH($A27,'Task Tracker'!$M$2:$M$251,0)),"")</f>
        <v/>
      </c>
    </row>
    <row r="28" spans="1:9" x14ac:dyDescent="0.35">
      <c r="A28" s="15">
        <v>24</v>
      </c>
      <c r="B28" s="15" t="str">
        <f>IFERROR(INDEX('Task Tracker'!$A$2:$A$251,MATCH($A28,'Task Tracker'!$M$2:$M$251,0)),"")</f>
        <v/>
      </c>
      <c r="C28" s="16" t="str">
        <f>IFERROR(INDEX('Task Tracker'!$D$2:$D$251,MATCH($A28,'Task Tracker'!$M$2:$M$251,0)),"")</f>
        <v/>
      </c>
      <c r="D28" s="16" t="str">
        <f>IFERROR(INDEX('Task Tracker'!$B$2:$B$251,MATCH($A28,'Task Tracker'!$M$2:$M$251,0)),"")</f>
        <v/>
      </c>
      <c r="E28" s="16" t="str">
        <f>IFERROR(INDEX('Task Tracker'!$F$2:$F$251,MATCH($A28,'Task Tracker'!$M$2:$M$251,0)),"")</f>
        <v/>
      </c>
      <c r="F28" s="15" t="str">
        <f>IFERROR(INDEX('Task Tracker'!$K$2:$K$251,MATCH($A28,'Task Tracker'!$M$2:$M$251,0)),"")</f>
        <v/>
      </c>
      <c r="G28" s="16" t="str">
        <f>IFERROR(INDEX('Task Tracker'!$L$2:$L$251,MATCH($A28,'Task Tracker'!$M$2:$M$251,0)),"")</f>
        <v/>
      </c>
      <c r="H28" s="15" t="str">
        <f>IFERROR(INDEX('Task Tracker'!$I$2:$I$251,MATCH($A28,'Task Tracker'!$M$2:$M$251,0)),"")</f>
        <v/>
      </c>
      <c r="I28" s="16" t="str">
        <f>IFERROR(INDEX('Task Tracker'!$E$2:$E$251,MATCH($A28,'Task Tracker'!$M$2:$M$251,0)),"")</f>
        <v/>
      </c>
    </row>
    <row r="29" spans="1:9" x14ac:dyDescent="0.35">
      <c r="A29" s="15">
        <v>25</v>
      </c>
      <c r="B29" s="15" t="str">
        <f>IFERROR(INDEX('Task Tracker'!$A$2:$A$251,MATCH($A29,'Task Tracker'!$M$2:$M$251,0)),"")</f>
        <v/>
      </c>
      <c r="C29" s="16" t="str">
        <f>IFERROR(INDEX('Task Tracker'!$D$2:$D$251,MATCH($A29,'Task Tracker'!$M$2:$M$251,0)),"")</f>
        <v/>
      </c>
      <c r="D29" s="16" t="str">
        <f>IFERROR(INDEX('Task Tracker'!$B$2:$B$251,MATCH($A29,'Task Tracker'!$M$2:$M$251,0)),"")</f>
        <v/>
      </c>
      <c r="E29" s="16" t="str">
        <f>IFERROR(INDEX('Task Tracker'!$F$2:$F$251,MATCH($A29,'Task Tracker'!$M$2:$M$251,0)),"")</f>
        <v/>
      </c>
      <c r="F29" s="15" t="str">
        <f>IFERROR(INDEX('Task Tracker'!$K$2:$K$251,MATCH($A29,'Task Tracker'!$M$2:$M$251,0)),"")</f>
        <v/>
      </c>
      <c r="G29" s="16" t="str">
        <f>IFERROR(INDEX('Task Tracker'!$L$2:$L$251,MATCH($A29,'Task Tracker'!$M$2:$M$251,0)),"")</f>
        <v/>
      </c>
      <c r="H29" s="15" t="str">
        <f>IFERROR(INDEX('Task Tracker'!$I$2:$I$251,MATCH($A29,'Task Tracker'!$M$2:$M$251,0)),"")</f>
        <v/>
      </c>
      <c r="I29" s="16" t="str">
        <f>IFERROR(INDEX('Task Tracker'!$E$2:$E$251,MATCH($A29,'Task Tracker'!$M$2:$M$251,0)),"")</f>
        <v/>
      </c>
    </row>
    <row r="30" spans="1:9" x14ac:dyDescent="0.35">
      <c r="A30" s="15">
        <v>26</v>
      </c>
      <c r="B30" s="15" t="str">
        <f>IFERROR(INDEX('Task Tracker'!$A$2:$A$251,MATCH($A30,'Task Tracker'!$M$2:$M$251,0)),"")</f>
        <v/>
      </c>
      <c r="C30" s="16" t="str">
        <f>IFERROR(INDEX('Task Tracker'!$D$2:$D$251,MATCH($A30,'Task Tracker'!$M$2:$M$251,0)),"")</f>
        <v/>
      </c>
      <c r="D30" s="16" t="str">
        <f>IFERROR(INDEX('Task Tracker'!$B$2:$B$251,MATCH($A30,'Task Tracker'!$M$2:$M$251,0)),"")</f>
        <v/>
      </c>
      <c r="E30" s="16" t="str">
        <f>IFERROR(INDEX('Task Tracker'!$F$2:$F$251,MATCH($A30,'Task Tracker'!$M$2:$M$251,0)),"")</f>
        <v/>
      </c>
      <c r="F30" s="15" t="str">
        <f>IFERROR(INDEX('Task Tracker'!$K$2:$K$251,MATCH($A30,'Task Tracker'!$M$2:$M$251,0)),"")</f>
        <v/>
      </c>
      <c r="G30" s="16" t="str">
        <f>IFERROR(INDEX('Task Tracker'!$L$2:$L$251,MATCH($A30,'Task Tracker'!$M$2:$M$251,0)),"")</f>
        <v/>
      </c>
      <c r="H30" s="15" t="str">
        <f>IFERROR(INDEX('Task Tracker'!$I$2:$I$251,MATCH($A30,'Task Tracker'!$M$2:$M$251,0)),"")</f>
        <v/>
      </c>
      <c r="I30" s="16" t="str">
        <f>IFERROR(INDEX('Task Tracker'!$E$2:$E$251,MATCH($A30,'Task Tracker'!$M$2:$M$251,0)),"")</f>
        <v/>
      </c>
    </row>
    <row r="31" spans="1:9" x14ac:dyDescent="0.35">
      <c r="A31" s="15">
        <v>27</v>
      </c>
      <c r="B31" s="15" t="str">
        <f>IFERROR(INDEX('Task Tracker'!$A$2:$A$251,MATCH($A31,'Task Tracker'!$M$2:$M$251,0)),"")</f>
        <v/>
      </c>
      <c r="C31" s="16" t="str">
        <f>IFERROR(INDEX('Task Tracker'!$D$2:$D$251,MATCH($A31,'Task Tracker'!$M$2:$M$251,0)),"")</f>
        <v/>
      </c>
      <c r="D31" s="16" t="str">
        <f>IFERROR(INDEX('Task Tracker'!$B$2:$B$251,MATCH($A31,'Task Tracker'!$M$2:$M$251,0)),"")</f>
        <v/>
      </c>
      <c r="E31" s="16" t="str">
        <f>IFERROR(INDEX('Task Tracker'!$F$2:$F$251,MATCH($A31,'Task Tracker'!$M$2:$M$251,0)),"")</f>
        <v/>
      </c>
      <c r="F31" s="15" t="str">
        <f>IFERROR(INDEX('Task Tracker'!$K$2:$K$251,MATCH($A31,'Task Tracker'!$M$2:$M$251,0)),"")</f>
        <v/>
      </c>
      <c r="G31" s="16" t="str">
        <f>IFERROR(INDEX('Task Tracker'!$L$2:$L$251,MATCH($A31,'Task Tracker'!$M$2:$M$251,0)),"")</f>
        <v/>
      </c>
      <c r="H31" s="15" t="str">
        <f>IFERROR(INDEX('Task Tracker'!$I$2:$I$251,MATCH($A31,'Task Tracker'!$M$2:$M$251,0)),"")</f>
        <v/>
      </c>
      <c r="I31" s="16" t="str">
        <f>IFERROR(INDEX('Task Tracker'!$E$2:$E$251,MATCH($A31,'Task Tracker'!$M$2:$M$251,0)),"")</f>
        <v/>
      </c>
    </row>
    <row r="32" spans="1:9" x14ac:dyDescent="0.35">
      <c r="A32" s="15">
        <v>28</v>
      </c>
      <c r="B32" s="15" t="str">
        <f>IFERROR(INDEX('Task Tracker'!$A$2:$A$251,MATCH($A32,'Task Tracker'!$M$2:$M$251,0)),"")</f>
        <v/>
      </c>
      <c r="C32" s="16" t="str">
        <f>IFERROR(INDEX('Task Tracker'!$D$2:$D$251,MATCH($A32,'Task Tracker'!$M$2:$M$251,0)),"")</f>
        <v/>
      </c>
      <c r="D32" s="16" t="str">
        <f>IFERROR(INDEX('Task Tracker'!$B$2:$B$251,MATCH($A32,'Task Tracker'!$M$2:$M$251,0)),"")</f>
        <v/>
      </c>
      <c r="E32" s="16" t="str">
        <f>IFERROR(INDEX('Task Tracker'!$F$2:$F$251,MATCH($A32,'Task Tracker'!$M$2:$M$251,0)),"")</f>
        <v/>
      </c>
      <c r="F32" s="15" t="str">
        <f>IFERROR(INDEX('Task Tracker'!$K$2:$K$251,MATCH($A32,'Task Tracker'!$M$2:$M$251,0)),"")</f>
        <v/>
      </c>
      <c r="G32" s="16" t="str">
        <f>IFERROR(INDEX('Task Tracker'!$L$2:$L$251,MATCH($A32,'Task Tracker'!$M$2:$M$251,0)),"")</f>
        <v/>
      </c>
      <c r="H32" s="15" t="str">
        <f>IFERROR(INDEX('Task Tracker'!$I$2:$I$251,MATCH($A32,'Task Tracker'!$M$2:$M$251,0)),"")</f>
        <v/>
      </c>
      <c r="I32" s="16" t="str">
        <f>IFERROR(INDEX('Task Tracker'!$E$2:$E$251,MATCH($A32,'Task Tracker'!$M$2:$M$251,0)),"")</f>
        <v/>
      </c>
    </row>
    <row r="33" spans="1:9" x14ac:dyDescent="0.35">
      <c r="A33" s="15">
        <v>29</v>
      </c>
      <c r="B33" s="15" t="str">
        <f>IFERROR(INDEX('Task Tracker'!$A$2:$A$251,MATCH($A33,'Task Tracker'!$M$2:$M$251,0)),"")</f>
        <v/>
      </c>
      <c r="C33" s="16" t="str">
        <f>IFERROR(INDEX('Task Tracker'!$D$2:$D$251,MATCH($A33,'Task Tracker'!$M$2:$M$251,0)),"")</f>
        <v/>
      </c>
      <c r="D33" s="16" t="str">
        <f>IFERROR(INDEX('Task Tracker'!$B$2:$B$251,MATCH($A33,'Task Tracker'!$M$2:$M$251,0)),"")</f>
        <v/>
      </c>
      <c r="E33" s="16" t="str">
        <f>IFERROR(INDEX('Task Tracker'!$F$2:$F$251,MATCH($A33,'Task Tracker'!$M$2:$M$251,0)),"")</f>
        <v/>
      </c>
      <c r="F33" s="15" t="str">
        <f>IFERROR(INDEX('Task Tracker'!$K$2:$K$251,MATCH($A33,'Task Tracker'!$M$2:$M$251,0)),"")</f>
        <v/>
      </c>
      <c r="G33" s="16" t="str">
        <f>IFERROR(INDEX('Task Tracker'!$L$2:$L$251,MATCH($A33,'Task Tracker'!$M$2:$M$251,0)),"")</f>
        <v/>
      </c>
      <c r="H33" s="15" t="str">
        <f>IFERROR(INDEX('Task Tracker'!$I$2:$I$251,MATCH($A33,'Task Tracker'!$M$2:$M$251,0)),"")</f>
        <v/>
      </c>
      <c r="I33" s="16" t="str">
        <f>IFERROR(INDEX('Task Tracker'!$E$2:$E$251,MATCH($A33,'Task Tracker'!$M$2:$M$251,0)),"")</f>
        <v/>
      </c>
    </row>
    <row r="34" spans="1:9" x14ac:dyDescent="0.35">
      <c r="A34" s="15">
        <v>30</v>
      </c>
      <c r="B34" s="15" t="str">
        <f>IFERROR(INDEX('Task Tracker'!$A$2:$A$251,MATCH($A34,'Task Tracker'!$M$2:$M$251,0)),"")</f>
        <v/>
      </c>
      <c r="C34" s="16" t="str">
        <f>IFERROR(INDEX('Task Tracker'!$D$2:$D$251,MATCH($A34,'Task Tracker'!$M$2:$M$251,0)),"")</f>
        <v/>
      </c>
      <c r="D34" s="16" t="str">
        <f>IFERROR(INDEX('Task Tracker'!$B$2:$B$251,MATCH($A34,'Task Tracker'!$M$2:$M$251,0)),"")</f>
        <v/>
      </c>
      <c r="E34" s="16" t="str">
        <f>IFERROR(INDEX('Task Tracker'!$F$2:$F$251,MATCH($A34,'Task Tracker'!$M$2:$M$251,0)),"")</f>
        <v/>
      </c>
      <c r="F34" s="15" t="str">
        <f>IFERROR(INDEX('Task Tracker'!$K$2:$K$251,MATCH($A34,'Task Tracker'!$M$2:$M$251,0)),"")</f>
        <v/>
      </c>
      <c r="G34" s="16" t="str">
        <f>IFERROR(INDEX('Task Tracker'!$L$2:$L$251,MATCH($A34,'Task Tracker'!$M$2:$M$251,0)),"")</f>
        <v/>
      </c>
      <c r="H34" s="15" t="str">
        <f>IFERROR(INDEX('Task Tracker'!$I$2:$I$251,MATCH($A34,'Task Tracker'!$M$2:$M$251,0)),"")</f>
        <v/>
      </c>
      <c r="I34" s="16" t="str">
        <f>IFERROR(INDEX('Task Tracker'!$E$2:$E$251,MATCH($A34,'Task Tracker'!$M$2:$M$251,0)),"")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40" customWidth="1"/>
    <col min="3" max="3" width="9" customWidth="1"/>
    <col min="4" max="4" width="12" customWidth="1"/>
    <col min="5" max="5" width="60" customWidth="1"/>
    <col min="6" max="6" width="30" customWidth="1"/>
  </cols>
  <sheetData>
    <row r="1" spans="1:6" x14ac:dyDescent="0.35">
      <c r="A1" s="8" t="s">
        <v>580</v>
      </c>
      <c r="B1" s="8" t="s">
        <v>581</v>
      </c>
      <c r="C1" s="8" t="s">
        <v>18</v>
      </c>
      <c r="D1" s="8" t="s">
        <v>35</v>
      </c>
      <c r="E1" s="8" t="s">
        <v>582</v>
      </c>
      <c r="F1" s="8" t="s">
        <v>583</v>
      </c>
    </row>
    <row r="2" spans="1:6" ht="37.5" x14ac:dyDescent="0.35">
      <c r="A2" s="15" t="s">
        <v>147</v>
      </c>
      <c r="B2" s="16" t="s">
        <v>584</v>
      </c>
      <c r="C2" s="15" t="s">
        <v>585</v>
      </c>
      <c r="D2" s="17" t="s">
        <v>11</v>
      </c>
      <c r="E2" s="16" t="s">
        <v>586</v>
      </c>
      <c r="F2" s="16" t="s">
        <v>587</v>
      </c>
    </row>
    <row r="3" spans="1:6" x14ac:dyDescent="0.35">
      <c r="A3" s="15" t="s">
        <v>80</v>
      </c>
      <c r="B3" s="16" t="s">
        <v>588</v>
      </c>
      <c r="C3" s="15" t="s">
        <v>585</v>
      </c>
      <c r="D3" s="17" t="s">
        <v>9</v>
      </c>
      <c r="E3" s="16"/>
      <c r="F3" s="16" t="s">
        <v>77</v>
      </c>
    </row>
    <row r="4" spans="1:6" ht="25" x14ac:dyDescent="0.35">
      <c r="A4" s="15" t="s">
        <v>589</v>
      </c>
      <c r="B4" s="16" t="s">
        <v>590</v>
      </c>
      <c r="C4" s="15" t="s">
        <v>585</v>
      </c>
      <c r="D4" s="17" t="s">
        <v>9</v>
      </c>
      <c r="E4" s="16" t="s">
        <v>591</v>
      </c>
      <c r="F4" s="16" t="s">
        <v>194</v>
      </c>
    </row>
    <row r="5" spans="1:6" ht="37.5" x14ac:dyDescent="0.35">
      <c r="A5" s="15" t="s">
        <v>592</v>
      </c>
      <c r="B5" s="16" t="s">
        <v>593</v>
      </c>
      <c r="C5" s="15" t="s">
        <v>585</v>
      </c>
      <c r="D5" s="17" t="s">
        <v>11</v>
      </c>
      <c r="E5" s="16" t="s">
        <v>594</v>
      </c>
      <c r="F5" s="16" t="s">
        <v>595</v>
      </c>
    </row>
    <row r="6" spans="1:6" ht="25" x14ac:dyDescent="0.35">
      <c r="A6" s="15" t="s">
        <v>596</v>
      </c>
      <c r="B6" s="16" t="s">
        <v>597</v>
      </c>
      <c r="C6" s="15" t="s">
        <v>585</v>
      </c>
      <c r="D6" s="17" t="s">
        <v>9</v>
      </c>
      <c r="E6" s="16" t="s">
        <v>598</v>
      </c>
      <c r="F6" s="16" t="s">
        <v>201</v>
      </c>
    </row>
    <row r="7" spans="1:6" ht="25" x14ac:dyDescent="0.35">
      <c r="A7" s="15" t="s">
        <v>599</v>
      </c>
      <c r="B7" s="16" t="s">
        <v>600</v>
      </c>
      <c r="C7" s="15" t="s">
        <v>585</v>
      </c>
      <c r="D7" s="17" t="s">
        <v>11</v>
      </c>
      <c r="E7" s="16" t="s">
        <v>601</v>
      </c>
      <c r="F7" s="16" t="s">
        <v>228</v>
      </c>
    </row>
    <row r="8" spans="1:6" ht="25" x14ac:dyDescent="0.35">
      <c r="A8" s="15" t="s">
        <v>602</v>
      </c>
      <c r="B8" s="16" t="s">
        <v>603</v>
      </c>
      <c r="C8" s="15" t="s">
        <v>585</v>
      </c>
      <c r="D8" s="17" t="s">
        <v>9</v>
      </c>
      <c r="E8" s="16" t="s">
        <v>604</v>
      </c>
      <c r="F8" s="16" t="s">
        <v>605</v>
      </c>
    </row>
    <row r="9" spans="1:6" x14ac:dyDescent="0.35">
      <c r="A9" s="15" t="s">
        <v>606</v>
      </c>
      <c r="B9" s="16" t="s">
        <v>607</v>
      </c>
      <c r="C9" s="15" t="s">
        <v>608</v>
      </c>
      <c r="D9" s="17" t="s">
        <v>12</v>
      </c>
      <c r="E9" s="16"/>
      <c r="F9" s="16" t="s">
        <v>407</v>
      </c>
    </row>
    <row r="10" spans="1:6" x14ac:dyDescent="0.35">
      <c r="A10" s="15" t="s">
        <v>609</v>
      </c>
      <c r="B10" s="16" t="s">
        <v>610</v>
      </c>
      <c r="C10" s="15" t="s">
        <v>585</v>
      </c>
      <c r="D10" s="17" t="s">
        <v>9</v>
      </c>
      <c r="E10" s="16"/>
      <c r="F10" s="16" t="s">
        <v>70</v>
      </c>
    </row>
    <row r="11" spans="1:6" x14ac:dyDescent="0.35">
      <c r="A11" s="15" t="s">
        <v>611</v>
      </c>
      <c r="B11" s="16" t="s">
        <v>612</v>
      </c>
      <c r="C11" s="15" t="s">
        <v>585</v>
      </c>
      <c r="D11" s="17" t="s">
        <v>11</v>
      </c>
      <c r="E11" s="16" t="s">
        <v>613</v>
      </c>
      <c r="F11" s="16"/>
    </row>
    <row r="12" spans="1:6" x14ac:dyDescent="0.35">
      <c r="A12" s="15" t="s">
        <v>614</v>
      </c>
      <c r="B12" s="16" t="s">
        <v>615</v>
      </c>
      <c r="C12" s="15" t="s">
        <v>585</v>
      </c>
      <c r="D12" s="17" t="s">
        <v>11</v>
      </c>
      <c r="E12" s="16" t="s">
        <v>616</v>
      </c>
      <c r="F12" s="16" t="s">
        <v>617</v>
      </c>
    </row>
    <row r="13" spans="1:6" x14ac:dyDescent="0.35">
      <c r="A13" s="15" t="s">
        <v>618</v>
      </c>
      <c r="B13" s="16" t="s">
        <v>619</v>
      </c>
      <c r="C13" s="15" t="s">
        <v>620</v>
      </c>
      <c r="D13" s="17" t="s">
        <v>12</v>
      </c>
      <c r="E13" s="16"/>
      <c r="F13" s="16" t="s">
        <v>485</v>
      </c>
    </row>
    <row r="14" spans="1:6" x14ac:dyDescent="0.35">
      <c r="A14" s="15" t="s">
        <v>621</v>
      </c>
      <c r="B14" s="16" t="s">
        <v>622</v>
      </c>
      <c r="C14" s="15" t="s">
        <v>585</v>
      </c>
      <c r="D14" s="17" t="s">
        <v>9</v>
      </c>
      <c r="E14" s="16" t="s">
        <v>623</v>
      </c>
      <c r="F14" s="16" t="s">
        <v>595</v>
      </c>
    </row>
    <row r="15" spans="1:6" x14ac:dyDescent="0.35">
      <c r="A15" s="15" t="s">
        <v>624</v>
      </c>
      <c r="B15" s="16" t="s">
        <v>625</v>
      </c>
      <c r="C15" s="15" t="s">
        <v>585</v>
      </c>
      <c r="D15" s="17" t="s">
        <v>9</v>
      </c>
      <c r="E15" s="16"/>
      <c r="F15" s="16" t="s">
        <v>626</v>
      </c>
    </row>
    <row r="16" spans="1:6" x14ac:dyDescent="0.35">
      <c r="A16" s="15" t="s">
        <v>95</v>
      </c>
      <c r="B16" s="16" t="s">
        <v>627</v>
      </c>
      <c r="C16" s="15" t="s">
        <v>585</v>
      </c>
      <c r="D16" s="17" t="s">
        <v>11</v>
      </c>
      <c r="E16" s="16" t="s">
        <v>628</v>
      </c>
      <c r="F16" s="16" t="s">
        <v>629</v>
      </c>
    </row>
    <row r="17" spans="1:6" ht="25" x14ac:dyDescent="0.35">
      <c r="A17" s="15" t="s">
        <v>630</v>
      </c>
      <c r="B17" s="16" t="s">
        <v>631</v>
      </c>
      <c r="C17" s="15" t="s">
        <v>585</v>
      </c>
      <c r="D17" s="17" t="s">
        <v>11</v>
      </c>
      <c r="E17" s="16" t="s">
        <v>632</v>
      </c>
      <c r="F17" s="16" t="s">
        <v>633</v>
      </c>
    </row>
    <row r="18" spans="1:6" x14ac:dyDescent="0.35">
      <c r="A18" s="15" t="s">
        <v>634</v>
      </c>
      <c r="B18" s="16" t="s">
        <v>635</v>
      </c>
      <c r="C18" s="15" t="s">
        <v>585</v>
      </c>
      <c r="D18" s="17" t="s">
        <v>9</v>
      </c>
      <c r="E18" s="16"/>
      <c r="F18" s="16" t="s">
        <v>116</v>
      </c>
    </row>
    <row r="19" spans="1:6" ht="25" x14ac:dyDescent="0.35">
      <c r="A19" s="15" t="s">
        <v>636</v>
      </c>
      <c r="B19" s="16" t="s">
        <v>637</v>
      </c>
      <c r="C19" s="15" t="s">
        <v>585</v>
      </c>
      <c r="D19" s="17" t="s">
        <v>11</v>
      </c>
      <c r="E19" s="16" t="s">
        <v>638</v>
      </c>
      <c r="F19" s="16" t="s">
        <v>595</v>
      </c>
    </row>
    <row r="20" spans="1:6" x14ac:dyDescent="0.35">
      <c r="A20" s="15" t="s">
        <v>107</v>
      </c>
      <c r="B20" s="16" t="s">
        <v>639</v>
      </c>
      <c r="C20" s="15" t="s">
        <v>640</v>
      </c>
      <c r="D20" s="17" t="s">
        <v>11</v>
      </c>
      <c r="E20" s="16" t="s">
        <v>641</v>
      </c>
      <c r="F20" s="16" t="s">
        <v>642</v>
      </c>
    </row>
    <row r="21" spans="1:6" x14ac:dyDescent="0.35">
      <c r="A21" s="15" t="s">
        <v>643</v>
      </c>
      <c r="B21" s="16" t="s">
        <v>644</v>
      </c>
      <c r="C21" s="15" t="s">
        <v>608</v>
      </c>
      <c r="D21" s="17" t="s">
        <v>12</v>
      </c>
      <c r="E21" s="16"/>
      <c r="F21" s="16" t="s">
        <v>407</v>
      </c>
    </row>
    <row r="22" spans="1:6" x14ac:dyDescent="0.35">
      <c r="A22" s="15" t="s">
        <v>645</v>
      </c>
      <c r="B22" s="16" t="s">
        <v>646</v>
      </c>
      <c r="C22" s="15" t="s">
        <v>640</v>
      </c>
      <c r="D22" s="17" t="s">
        <v>11</v>
      </c>
      <c r="E22" s="16" t="s">
        <v>647</v>
      </c>
      <c r="F22" s="16" t="s">
        <v>407</v>
      </c>
    </row>
    <row r="23" spans="1:6" x14ac:dyDescent="0.35">
      <c r="A23" s="15" t="s">
        <v>648</v>
      </c>
      <c r="B23" s="16" t="s">
        <v>649</v>
      </c>
      <c r="C23" s="15" t="s">
        <v>585</v>
      </c>
      <c r="D23" s="17" t="s">
        <v>9</v>
      </c>
      <c r="E23" s="16" t="s">
        <v>623</v>
      </c>
      <c r="F23" s="16" t="s">
        <v>98</v>
      </c>
    </row>
    <row r="24" spans="1:6" x14ac:dyDescent="0.35">
      <c r="A24" s="15" t="s">
        <v>650</v>
      </c>
      <c r="B24" s="16" t="s">
        <v>651</v>
      </c>
      <c r="C24" s="15" t="s">
        <v>608</v>
      </c>
      <c r="D24" s="17" t="s">
        <v>12</v>
      </c>
      <c r="E24" s="16"/>
      <c r="F24" s="16" t="s">
        <v>388</v>
      </c>
    </row>
    <row r="25" spans="1:6" x14ac:dyDescent="0.35">
      <c r="A25" s="15" t="s">
        <v>652</v>
      </c>
      <c r="B25" s="16" t="s">
        <v>395</v>
      </c>
      <c r="C25" s="15" t="s">
        <v>608</v>
      </c>
      <c r="D25" s="17" t="s">
        <v>12</v>
      </c>
      <c r="E25" s="16"/>
      <c r="F25" s="16" t="s">
        <v>394</v>
      </c>
    </row>
    <row r="26" spans="1:6" x14ac:dyDescent="0.35">
      <c r="A26" s="15" t="s">
        <v>653</v>
      </c>
      <c r="B26" s="16" t="s">
        <v>654</v>
      </c>
      <c r="C26" s="15" t="s">
        <v>608</v>
      </c>
      <c r="D26" s="17" t="s">
        <v>12</v>
      </c>
      <c r="E26" s="16"/>
      <c r="F26" s="16" t="s">
        <v>399</v>
      </c>
    </row>
    <row r="27" spans="1:6" x14ac:dyDescent="0.35">
      <c r="A27" s="15" t="s">
        <v>655</v>
      </c>
      <c r="B27" s="16" t="s">
        <v>656</v>
      </c>
      <c r="C27" s="15" t="s">
        <v>608</v>
      </c>
      <c r="D27" s="17" t="s">
        <v>11</v>
      </c>
      <c r="E27" s="16" t="s">
        <v>657</v>
      </c>
      <c r="F27" s="16" t="s">
        <v>399</v>
      </c>
    </row>
    <row r="28" spans="1:6" x14ac:dyDescent="0.35">
      <c r="A28" s="15" t="s">
        <v>658</v>
      </c>
      <c r="B28" s="16" t="s">
        <v>659</v>
      </c>
      <c r="C28" s="15" t="s">
        <v>608</v>
      </c>
      <c r="D28" s="17" t="s">
        <v>12</v>
      </c>
      <c r="E28" s="16"/>
      <c r="F28" s="16" t="s">
        <v>411</v>
      </c>
    </row>
    <row r="29" spans="1:6" x14ac:dyDescent="0.35">
      <c r="A29" s="15" t="s">
        <v>660</v>
      </c>
      <c r="B29" s="16" t="s">
        <v>661</v>
      </c>
      <c r="C29" s="15" t="s">
        <v>608</v>
      </c>
      <c r="D29" s="17" t="s">
        <v>12</v>
      </c>
      <c r="E29" s="16"/>
      <c r="F29" s="16" t="s">
        <v>411</v>
      </c>
    </row>
    <row r="30" spans="1:6" x14ac:dyDescent="0.35">
      <c r="A30" s="15" t="s">
        <v>662</v>
      </c>
      <c r="B30" s="16" t="s">
        <v>663</v>
      </c>
      <c r="C30" s="15" t="s">
        <v>608</v>
      </c>
      <c r="D30" s="17" t="s">
        <v>12</v>
      </c>
      <c r="E30" s="16"/>
      <c r="F30" s="16" t="s">
        <v>416</v>
      </c>
    </row>
    <row r="31" spans="1:6" x14ac:dyDescent="0.35">
      <c r="A31" s="15" t="s">
        <v>664</v>
      </c>
      <c r="B31" s="16" t="s">
        <v>665</v>
      </c>
      <c r="C31" s="15" t="s">
        <v>608</v>
      </c>
      <c r="D31" s="17" t="s">
        <v>12</v>
      </c>
      <c r="E31" s="16"/>
      <c r="F31" s="16" t="s">
        <v>416</v>
      </c>
    </row>
    <row r="32" spans="1:6" x14ac:dyDescent="0.35">
      <c r="A32" s="15" t="s">
        <v>666</v>
      </c>
      <c r="B32" s="16" t="s">
        <v>667</v>
      </c>
      <c r="C32" s="15" t="s">
        <v>620</v>
      </c>
      <c r="D32" s="17" t="s">
        <v>12</v>
      </c>
      <c r="E32" s="16"/>
      <c r="F32" s="16" t="s">
        <v>485</v>
      </c>
    </row>
    <row r="33" spans="1:6" x14ac:dyDescent="0.35">
      <c r="A33" s="15" t="s">
        <v>668</v>
      </c>
      <c r="B33" s="16" t="s">
        <v>669</v>
      </c>
      <c r="C33" s="15" t="s">
        <v>620</v>
      </c>
      <c r="D33" s="17" t="s">
        <v>12</v>
      </c>
      <c r="E33" s="16"/>
      <c r="F33" s="16" t="s">
        <v>490</v>
      </c>
    </row>
    <row r="34" spans="1:6" x14ac:dyDescent="0.35">
      <c r="A34" s="15" t="s">
        <v>670</v>
      </c>
      <c r="B34" s="16" t="s">
        <v>671</v>
      </c>
      <c r="C34" s="15" t="s">
        <v>620</v>
      </c>
      <c r="D34" s="17" t="s">
        <v>12</v>
      </c>
      <c r="E34" s="16"/>
      <c r="F34" s="16" t="s">
        <v>495</v>
      </c>
    </row>
    <row r="35" spans="1:6" x14ac:dyDescent="0.35">
      <c r="A35" s="15" t="s">
        <v>424</v>
      </c>
      <c r="B35" s="16" t="s">
        <v>672</v>
      </c>
      <c r="C35" s="15" t="s">
        <v>608</v>
      </c>
      <c r="D35" s="17" t="s">
        <v>12</v>
      </c>
      <c r="E35" s="16"/>
      <c r="F35" s="16" t="s">
        <v>673</v>
      </c>
    </row>
    <row r="36" spans="1:6" x14ac:dyDescent="0.35">
      <c r="A36" s="15" t="s">
        <v>674</v>
      </c>
      <c r="B36" s="16" t="s">
        <v>675</v>
      </c>
      <c r="C36" s="15" t="s">
        <v>608</v>
      </c>
      <c r="D36" s="17" t="s">
        <v>12</v>
      </c>
      <c r="E36" s="16"/>
      <c r="F36" s="16" t="s">
        <v>425</v>
      </c>
    </row>
    <row r="37" spans="1:6" ht="25" x14ac:dyDescent="0.35">
      <c r="A37" s="15" t="s">
        <v>348</v>
      </c>
      <c r="B37" s="16" t="s">
        <v>676</v>
      </c>
      <c r="C37" s="15" t="s">
        <v>640</v>
      </c>
      <c r="D37" s="17" t="s">
        <v>11</v>
      </c>
      <c r="E37" s="16" t="s">
        <v>677</v>
      </c>
      <c r="F37" s="16" t="s">
        <v>678</v>
      </c>
    </row>
    <row r="38" spans="1:6" x14ac:dyDescent="0.35">
      <c r="A38" s="15" t="s">
        <v>679</v>
      </c>
      <c r="B38" s="16" t="s">
        <v>430</v>
      </c>
      <c r="C38" s="15" t="s">
        <v>608</v>
      </c>
      <c r="D38" s="17" t="s">
        <v>12</v>
      </c>
      <c r="E38" s="16"/>
      <c r="F38" s="16" t="s">
        <v>429</v>
      </c>
    </row>
    <row r="39" spans="1:6" x14ac:dyDescent="0.35">
      <c r="A39" s="15" t="s">
        <v>680</v>
      </c>
      <c r="B39" s="16" t="s">
        <v>681</v>
      </c>
      <c r="C39" s="15" t="s">
        <v>608</v>
      </c>
      <c r="D39" s="17" t="s">
        <v>12</v>
      </c>
      <c r="E39" s="16"/>
      <c r="F39" s="16" t="s">
        <v>442</v>
      </c>
    </row>
    <row r="40" spans="1:6" x14ac:dyDescent="0.35">
      <c r="A40" s="15" t="s">
        <v>682</v>
      </c>
      <c r="B40" s="16" t="s">
        <v>683</v>
      </c>
      <c r="C40" s="15" t="s">
        <v>608</v>
      </c>
      <c r="D40" s="17" t="s">
        <v>12</v>
      </c>
      <c r="E40" s="16"/>
      <c r="F40" s="16" t="s">
        <v>438</v>
      </c>
    </row>
    <row r="41" spans="1:6" ht="25" x14ac:dyDescent="0.35">
      <c r="A41" s="15" t="s">
        <v>532</v>
      </c>
      <c r="B41" s="16" t="s">
        <v>684</v>
      </c>
      <c r="C41" s="15" t="s">
        <v>685</v>
      </c>
      <c r="D41" s="17" t="s">
        <v>11</v>
      </c>
      <c r="E41" s="16" t="s">
        <v>686</v>
      </c>
      <c r="F41" s="16" t="s">
        <v>687</v>
      </c>
    </row>
    <row r="42" spans="1:6" x14ac:dyDescent="0.35">
      <c r="A42" s="15" t="s">
        <v>539</v>
      </c>
      <c r="B42" s="16" t="s">
        <v>688</v>
      </c>
      <c r="C42" s="15" t="s">
        <v>685</v>
      </c>
      <c r="D42" s="17" t="s">
        <v>12</v>
      </c>
      <c r="E42" s="16"/>
      <c r="F42" s="16" t="s">
        <v>689</v>
      </c>
    </row>
    <row r="43" spans="1:6" x14ac:dyDescent="0.35">
      <c r="A43" s="15" t="s">
        <v>690</v>
      </c>
      <c r="B43" s="16" t="s">
        <v>691</v>
      </c>
      <c r="C43" s="15" t="s">
        <v>685</v>
      </c>
      <c r="D43" s="17" t="s">
        <v>12</v>
      </c>
      <c r="E43" s="16"/>
      <c r="F43" s="16" t="s">
        <v>553</v>
      </c>
    </row>
    <row r="44" spans="1:6" x14ac:dyDescent="0.35">
      <c r="A44" s="15" t="s">
        <v>560</v>
      </c>
      <c r="B44" s="16" t="s">
        <v>558</v>
      </c>
      <c r="C44" s="15" t="s">
        <v>685</v>
      </c>
      <c r="D44" s="17" t="s">
        <v>12</v>
      </c>
      <c r="E44" s="16"/>
      <c r="F44" s="16" t="s">
        <v>557</v>
      </c>
    </row>
    <row r="45" spans="1:6" x14ac:dyDescent="0.35">
      <c r="A45" s="15" t="s">
        <v>565</v>
      </c>
      <c r="B45" s="16" t="s">
        <v>563</v>
      </c>
      <c r="C45" s="15" t="s">
        <v>685</v>
      </c>
      <c r="D45" s="17" t="s">
        <v>12</v>
      </c>
      <c r="E45" s="16"/>
      <c r="F45" s="16" t="s">
        <v>561</v>
      </c>
    </row>
    <row r="46" spans="1:6" x14ac:dyDescent="0.35">
      <c r="A46" s="15" t="s">
        <v>692</v>
      </c>
      <c r="B46" s="16" t="s">
        <v>567</v>
      </c>
      <c r="C46" s="15" t="s">
        <v>685</v>
      </c>
      <c r="D46" s="17" t="s">
        <v>12</v>
      </c>
      <c r="E46" s="16"/>
      <c r="F46" s="16" t="s">
        <v>566</v>
      </c>
    </row>
    <row r="47" spans="1:6" x14ac:dyDescent="0.35">
      <c r="A47" s="15" t="s">
        <v>573</v>
      </c>
      <c r="B47" s="16" t="s">
        <v>571</v>
      </c>
      <c r="C47" s="15" t="s">
        <v>685</v>
      </c>
      <c r="D47" s="17" t="s">
        <v>12</v>
      </c>
      <c r="E47" s="16"/>
      <c r="F47" s="16" t="s">
        <v>570</v>
      </c>
    </row>
    <row r="48" spans="1:6" ht="25" x14ac:dyDescent="0.35">
      <c r="A48" s="15" t="s">
        <v>693</v>
      </c>
      <c r="B48" s="16" t="s">
        <v>694</v>
      </c>
      <c r="C48" s="15" t="s">
        <v>585</v>
      </c>
      <c r="D48" s="17" t="s">
        <v>9</v>
      </c>
      <c r="E48" s="16" t="s">
        <v>695</v>
      </c>
      <c r="F48" s="16" t="s">
        <v>289</v>
      </c>
    </row>
    <row r="49" spans="1:6" ht="25" x14ac:dyDescent="0.35">
      <c r="A49" s="15" t="s">
        <v>696</v>
      </c>
      <c r="B49" s="16" t="s">
        <v>697</v>
      </c>
      <c r="C49" s="15" t="s">
        <v>585</v>
      </c>
      <c r="D49" s="17" t="s">
        <v>11</v>
      </c>
      <c r="E49" s="16" t="s">
        <v>698</v>
      </c>
      <c r="F49" s="16" t="s">
        <v>699</v>
      </c>
    </row>
    <row r="50" spans="1:6" ht="37.5" x14ac:dyDescent="0.35">
      <c r="A50" s="15" t="s">
        <v>477</v>
      </c>
      <c r="B50" s="16" t="s">
        <v>700</v>
      </c>
      <c r="C50" s="15" t="s">
        <v>585</v>
      </c>
      <c r="D50" s="17" t="s">
        <v>9</v>
      </c>
      <c r="E50" s="16" t="s">
        <v>701</v>
      </c>
      <c r="F50" s="16" t="s">
        <v>702</v>
      </c>
    </row>
    <row r="51" spans="1:6" x14ac:dyDescent="0.35">
      <c r="A51" s="15" t="s">
        <v>506</v>
      </c>
      <c r="B51" s="16" t="s">
        <v>703</v>
      </c>
      <c r="C51" s="15" t="s">
        <v>620</v>
      </c>
      <c r="D51" s="17" t="s">
        <v>12</v>
      </c>
      <c r="E51" s="16"/>
      <c r="F51" s="16" t="s">
        <v>503</v>
      </c>
    </row>
    <row r="52" spans="1:6" x14ac:dyDescent="0.35">
      <c r="A52" s="15" t="s">
        <v>510</v>
      </c>
      <c r="B52" s="16" t="s">
        <v>704</v>
      </c>
      <c r="C52" s="15" t="s">
        <v>620</v>
      </c>
      <c r="D52" s="17" t="s">
        <v>12</v>
      </c>
      <c r="E52" s="16"/>
      <c r="F52" s="16" t="s">
        <v>507</v>
      </c>
    </row>
    <row r="53" spans="1:6" x14ac:dyDescent="0.35">
      <c r="A53" s="15" t="s">
        <v>455</v>
      </c>
      <c r="B53" s="16" t="s">
        <v>705</v>
      </c>
      <c r="C53" s="15" t="s">
        <v>608</v>
      </c>
      <c r="D53" s="17" t="s">
        <v>12</v>
      </c>
      <c r="E53" s="16"/>
      <c r="F53" s="16" t="s">
        <v>452</v>
      </c>
    </row>
    <row r="54" spans="1:6" ht="25" x14ac:dyDescent="0.35">
      <c r="A54" s="15" t="s">
        <v>279</v>
      </c>
      <c r="B54" s="16" t="s">
        <v>706</v>
      </c>
      <c r="C54" s="15" t="s">
        <v>585</v>
      </c>
      <c r="D54" s="17" t="s">
        <v>9</v>
      </c>
      <c r="E54" s="16" t="s">
        <v>707</v>
      </c>
      <c r="F54" s="16" t="s">
        <v>708</v>
      </c>
    </row>
    <row r="55" spans="1:6" x14ac:dyDescent="0.35">
      <c r="A55" s="15" t="s">
        <v>133</v>
      </c>
      <c r="B55" s="16" t="s">
        <v>709</v>
      </c>
      <c r="C55" s="15" t="s">
        <v>620</v>
      </c>
      <c r="D55" s="17" t="s">
        <v>11</v>
      </c>
      <c r="E55" s="16" t="s">
        <v>710</v>
      </c>
      <c r="F55" s="16" t="s">
        <v>711</v>
      </c>
    </row>
    <row r="56" spans="1:6" x14ac:dyDescent="0.35">
      <c r="A56" s="15" t="s">
        <v>376</v>
      </c>
      <c r="B56" s="16" t="s">
        <v>712</v>
      </c>
      <c r="C56" s="15" t="s">
        <v>585</v>
      </c>
      <c r="D56" s="17" t="s">
        <v>12</v>
      </c>
      <c r="E56" s="16"/>
      <c r="F56" s="16" t="s">
        <v>713</v>
      </c>
    </row>
    <row r="57" spans="1:6" x14ac:dyDescent="0.35">
      <c r="A57" s="15" t="s">
        <v>514</v>
      </c>
      <c r="B57" s="16" t="s">
        <v>714</v>
      </c>
      <c r="C57" s="15" t="s">
        <v>620</v>
      </c>
      <c r="D57" s="17" t="s">
        <v>12</v>
      </c>
      <c r="E57" s="16"/>
      <c r="F57" s="16" t="s">
        <v>511</v>
      </c>
    </row>
    <row r="58" spans="1:6" ht="25" x14ac:dyDescent="0.35">
      <c r="A58" s="15" t="s">
        <v>272</v>
      </c>
      <c r="B58" s="16" t="s">
        <v>715</v>
      </c>
      <c r="C58" s="15" t="s">
        <v>585</v>
      </c>
      <c r="D58" s="17" t="s">
        <v>11</v>
      </c>
      <c r="E58" s="16" t="s">
        <v>716</v>
      </c>
      <c r="F58" s="16" t="s">
        <v>269</v>
      </c>
    </row>
    <row r="59" spans="1:6" x14ac:dyDescent="0.35">
      <c r="A59" s="15" t="s">
        <v>460</v>
      </c>
      <c r="B59" s="16" t="s">
        <v>458</v>
      </c>
      <c r="C59" s="15" t="s">
        <v>608</v>
      </c>
      <c r="D59" s="17" t="s">
        <v>12</v>
      </c>
      <c r="E59" s="16"/>
      <c r="F59" s="16" t="s">
        <v>457</v>
      </c>
    </row>
    <row r="60" spans="1:6" x14ac:dyDescent="0.35">
      <c r="A60" s="15" t="s">
        <v>717</v>
      </c>
      <c r="B60" s="16" t="s">
        <v>718</v>
      </c>
      <c r="C60" s="15" t="s">
        <v>585</v>
      </c>
      <c r="D60" s="17" t="s">
        <v>9</v>
      </c>
      <c r="E60" s="16" t="s">
        <v>719</v>
      </c>
      <c r="F60" s="16" t="s">
        <v>249</v>
      </c>
    </row>
    <row r="61" spans="1:6" x14ac:dyDescent="0.35">
      <c r="A61" s="15" t="s">
        <v>465</v>
      </c>
      <c r="B61" s="16" t="s">
        <v>463</v>
      </c>
      <c r="C61" s="15" t="s">
        <v>608</v>
      </c>
      <c r="D61" s="17" t="s">
        <v>12</v>
      </c>
      <c r="E61" s="16"/>
      <c r="F61" s="16" t="s">
        <v>461</v>
      </c>
    </row>
    <row r="62" spans="1:6" x14ac:dyDescent="0.35">
      <c r="A62" s="15" t="s">
        <v>720</v>
      </c>
      <c r="B62" s="16" t="s">
        <v>721</v>
      </c>
      <c r="C62" s="15" t="s">
        <v>608</v>
      </c>
      <c r="D62" s="17" t="s">
        <v>12</v>
      </c>
      <c r="E62" s="16"/>
      <c r="F62" s="16" t="s">
        <v>466</v>
      </c>
    </row>
    <row r="63" spans="1:6" x14ac:dyDescent="0.35">
      <c r="A63" s="15" t="s">
        <v>473</v>
      </c>
      <c r="B63" s="16" t="s">
        <v>722</v>
      </c>
      <c r="C63" s="15" t="s">
        <v>608</v>
      </c>
      <c r="D63" s="17" t="s">
        <v>12</v>
      </c>
      <c r="E63" s="16"/>
      <c r="F63" s="16" t="s">
        <v>470</v>
      </c>
    </row>
    <row r="64" spans="1:6" ht="25" x14ac:dyDescent="0.35">
      <c r="A64" s="15" t="s">
        <v>723</v>
      </c>
      <c r="B64" s="16" t="s">
        <v>724</v>
      </c>
      <c r="C64" s="15" t="s">
        <v>585</v>
      </c>
      <c r="D64" s="17" t="s">
        <v>9</v>
      </c>
      <c r="E64" s="16" t="s">
        <v>725</v>
      </c>
      <c r="F64" s="16" t="s">
        <v>187</v>
      </c>
    </row>
    <row r="65" spans="1:6" x14ac:dyDescent="0.35">
      <c r="A65" s="15" t="s">
        <v>518</v>
      </c>
      <c r="B65" s="16" t="s">
        <v>726</v>
      </c>
      <c r="C65" s="15" t="s">
        <v>620</v>
      </c>
      <c r="D65" s="17" t="s">
        <v>12</v>
      </c>
      <c r="E65" s="16"/>
      <c r="F65" s="16" t="s">
        <v>515</v>
      </c>
    </row>
    <row r="66" spans="1:6" ht="37.5" x14ac:dyDescent="0.35">
      <c r="A66" s="15" t="s">
        <v>161</v>
      </c>
      <c r="B66" s="16" t="s">
        <v>727</v>
      </c>
      <c r="C66" s="15" t="s">
        <v>608</v>
      </c>
      <c r="D66" s="17" t="s">
        <v>11</v>
      </c>
      <c r="E66" s="16" t="s">
        <v>728</v>
      </c>
      <c r="F66" s="16" t="s">
        <v>729</v>
      </c>
    </row>
    <row r="67" spans="1:6" ht="25" x14ac:dyDescent="0.35">
      <c r="A67" s="15" t="s">
        <v>183</v>
      </c>
      <c r="B67" s="16" t="s">
        <v>730</v>
      </c>
      <c r="C67" s="15" t="s">
        <v>585</v>
      </c>
      <c r="D67" s="17" t="s">
        <v>11</v>
      </c>
      <c r="E67" s="16" t="s">
        <v>731</v>
      </c>
      <c r="F67" s="16" t="s">
        <v>732</v>
      </c>
    </row>
    <row r="68" spans="1:6" x14ac:dyDescent="0.35">
      <c r="A68" s="15" t="s">
        <v>502</v>
      </c>
      <c r="B68" s="16" t="s">
        <v>733</v>
      </c>
      <c r="C68" s="15" t="s">
        <v>620</v>
      </c>
      <c r="D68" s="17" t="s">
        <v>12</v>
      </c>
      <c r="E68" s="16"/>
      <c r="F68" s="16" t="s">
        <v>499</v>
      </c>
    </row>
    <row r="69" spans="1:6" x14ac:dyDescent="0.35">
      <c r="A69" s="15" t="s">
        <v>481</v>
      </c>
      <c r="B69" s="16" t="s">
        <v>734</v>
      </c>
      <c r="C69" s="15" t="s">
        <v>735</v>
      </c>
      <c r="D69" s="17" t="s">
        <v>12</v>
      </c>
      <c r="E69" s="16" t="s">
        <v>736</v>
      </c>
      <c r="F69" s="16" t="s">
        <v>478</v>
      </c>
    </row>
    <row r="70" spans="1:6" ht="37.5" x14ac:dyDescent="0.35">
      <c r="A70" s="15" t="s">
        <v>737</v>
      </c>
      <c r="B70" s="16" t="s">
        <v>738</v>
      </c>
      <c r="C70" s="15" t="s">
        <v>585</v>
      </c>
      <c r="D70" s="17" t="s">
        <v>11</v>
      </c>
      <c r="E70" s="16" t="s">
        <v>739</v>
      </c>
      <c r="F70" s="16"/>
    </row>
  </sheetData>
  <autoFilter ref="A1:F70" xr:uid="{00000000-0009-0000-0000-000003000000}"/>
  <conditionalFormatting sqref="D2:D120">
    <cfRule type="cellIs" dxfId="14" priority="1" operator="equal">
      <formula>"Done"</formula>
    </cfRule>
    <cfRule type="cellIs" dxfId="13" priority="2" operator="equal">
      <formula>"Partial"</formula>
    </cfRule>
    <cfRule type="cellIs" dxfId="12" priority="3" operator="equal">
      <formula>"Not started"</formula>
    </cfRule>
  </conditionalFormatting>
  <dataValidations count="1">
    <dataValidation type="list" sqref="D2:D120" xr:uid="{00000000-0002-0000-0300-000000000000}">
      <formula1>"Done,Partial,Not started"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32" customWidth="1"/>
    <col min="3" max="3" width="9" customWidth="1"/>
    <col min="4" max="4" width="12" customWidth="1"/>
    <col min="5" max="5" width="52" customWidth="1"/>
    <col min="6" max="6" width="20" customWidth="1"/>
  </cols>
  <sheetData>
    <row r="1" spans="1:6" x14ac:dyDescent="0.35">
      <c r="A1" s="8" t="s">
        <v>740</v>
      </c>
      <c r="B1" s="8" t="s">
        <v>741</v>
      </c>
      <c r="C1" s="8" t="s">
        <v>18</v>
      </c>
      <c r="D1" s="8" t="s">
        <v>35</v>
      </c>
      <c r="E1" s="8" t="s">
        <v>42</v>
      </c>
      <c r="F1" s="8" t="s">
        <v>583</v>
      </c>
    </row>
    <row r="2" spans="1:6" x14ac:dyDescent="0.35">
      <c r="A2" s="15" t="s">
        <v>742</v>
      </c>
      <c r="B2" s="16" t="s">
        <v>743</v>
      </c>
      <c r="C2" s="15">
        <v>1</v>
      </c>
      <c r="D2" s="17" t="s">
        <v>9</v>
      </c>
      <c r="E2" s="16"/>
      <c r="F2" s="16"/>
    </row>
    <row r="3" spans="1:6" x14ac:dyDescent="0.35">
      <c r="A3" s="15" t="s">
        <v>744</v>
      </c>
      <c r="B3" s="16" t="s">
        <v>745</v>
      </c>
      <c r="C3" s="15">
        <v>1</v>
      </c>
      <c r="D3" s="17" t="s">
        <v>9</v>
      </c>
      <c r="E3" s="16"/>
      <c r="F3" s="16"/>
    </row>
    <row r="4" spans="1:6" x14ac:dyDescent="0.35">
      <c r="A4" s="15" t="s">
        <v>746</v>
      </c>
      <c r="B4" s="16" t="s">
        <v>747</v>
      </c>
      <c r="C4" s="15">
        <v>1</v>
      </c>
      <c r="D4" s="17" t="s">
        <v>9</v>
      </c>
      <c r="E4" s="16"/>
      <c r="F4" s="16"/>
    </row>
    <row r="5" spans="1:6" x14ac:dyDescent="0.35">
      <c r="A5" s="15" t="s">
        <v>748</v>
      </c>
      <c r="B5" s="16" t="s">
        <v>749</v>
      </c>
      <c r="C5" s="15">
        <v>1</v>
      </c>
      <c r="D5" s="17" t="s">
        <v>9</v>
      </c>
      <c r="E5" s="16"/>
      <c r="F5" s="16"/>
    </row>
    <row r="6" spans="1:6" x14ac:dyDescent="0.35">
      <c r="A6" s="15" t="s">
        <v>750</v>
      </c>
      <c r="B6" s="16" t="s">
        <v>751</v>
      </c>
      <c r="C6" s="15">
        <v>1</v>
      </c>
      <c r="D6" s="17" t="s">
        <v>9</v>
      </c>
      <c r="E6" s="16"/>
      <c r="F6" s="16"/>
    </row>
    <row r="7" spans="1:6" x14ac:dyDescent="0.35">
      <c r="A7" s="15" t="s">
        <v>752</v>
      </c>
      <c r="B7" s="16" t="s">
        <v>753</v>
      </c>
      <c r="C7" s="15">
        <v>1</v>
      </c>
      <c r="D7" s="17" t="s">
        <v>9</v>
      </c>
      <c r="E7" s="16"/>
      <c r="F7" s="16"/>
    </row>
    <row r="8" spans="1:6" x14ac:dyDescent="0.35">
      <c r="A8" s="15" t="s">
        <v>754</v>
      </c>
      <c r="B8" s="16" t="s">
        <v>755</v>
      </c>
      <c r="C8" s="15">
        <v>2</v>
      </c>
      <c r="D8" s="17" t="s">
        <v>12</v>
      </c>
      <c r="E8" s="16"/>
      <c r="F8" s="16" t="s">
        <v>411</v>
      </c>
    </row>
    <row r="9" spans="1:6" x14ac:dyDescent="0.35">
      <c r="A9" s="15" t="s">
        <v>756</v>
      </c>
      <c r="B9" s="16" t="s">
        <v>757</v>
      </c>
      <c r="C9" s="15">
        <v>2</v>
      </c>
      <c r="D9" s="17" t="s">
        <v>12</v>
      </c>
      <c r="E9" s="16"/>
      <c r="F9" s="16" t="s">
        <v>411</v>
      </c>
    </row>
    <row r="10" spans="1:6" x14ac:dyDescent="0.35">
      <c r="A10" s="15" t="s">
        <v>758</v>
      </c>
      <c r="B10" s="16" t="s">
        <v>759</v>
      </c>
      <c r="C10" s="15">
        <v>1</v>
      </c>
      <c r="D10" s="17" t="s">
        <v>9</v>
      </c>
      <c r="E10" s="16"/>
      <c r="F10" s="16"/>
    </row>
    <row r="11" spans="1:6" x14ac:dyDescent="0.35">
      <c r="A11" s="15" t="s">
        <v>760</v>
      </c>
      <c r="B11" s="16" t="s">
        <v>761</v>
      </c>
      <c r="C11" s="15">
        <v>1</v>
      </c>
      <c r="D11" s="17" t="s">
        <v>9</v>
      </c>
      <c r="E11" s="16"/>
      <c r="F11" s="16"/>
    </row>
    <row r="12" spans="1:6" x14ac:dyDescent="0.35">
      <c r="A12" s="15" t="s">
        <v>762</v>
      </c>
      <c r="B12" s="16" t="s">
        <v>763</v>
      </c>
      <c r="C12" s="15">
        <v>1</v>
      </c>
      <c r="D12" s="17" t="s">
        <v>9</v>
      </c>
      <c r="E12" s="16"/>
      <c r="F12" s="16" t="s">
        <v>201</v>
      </c>
    </row>
    <row r="13" spans="1:6" x14ac:dyDescent="0.35">
      <c r="A13" s="15" t="s">
        <v>764</v>
      </c>
      <c r="B13" s="16" t="s">
        <v>635</v>
      </c>
      <c r="C13" s="15">
        <v>1</v>
      </c>
      <c r="D13" s="17" t="s">
        <v>9</v>
      </c>
      <c r="E13" s="16"/>
      <c r="F13" s="16"/>
    </row>
    <row r="14" spans="1:6" x14ac:dyDescent="0.35">
      <c r="A14" s="15" t="s">
        <v>765</v>
      </c>
      <c r="B14" s="16" t="s">
        <v>766</v>
      </c>
      <c r="C14" s="15">
        <v>2</v>
      </c>
      <c r="D14" s="17" t="s">
        <v>12</v>
      </c>
      <c r="E14" s="16"/>
      <c r="F14" s="16" t="s">
        <v>425</v>
      </c>
    </row>
    <row r="15" spans="1:6" x14ac:dyDescent="0.35">
      <c r="A15" s="15" t="s">
        <v>767</v>
      </c>
      <c r="B15" s="16" t="s">
        <v>768</v>
      </c>
      <c r="C15" s="15">
        <v>2</v>
      </c>
      <c r="D15" s="17" t="s">
        <v>12</v>
      </c>
      <c r="E15" s="16"/>
      <c r="F15" s="16" t="s">
        <v>425</v>
      </c>
    </row>
    <row r="16" spans="1:6" ht="25" x14ac:dyDescent="0.35">
      <c r="A16" s="15" t="s">
        <v>211</v>
      </c>
      <c r="B16" s="16" t="s">
        <v>769</v>
      </c>
      <c r="C16" s="15">
        <v>1</v>
      </c>
      <c r="D16" s="17" t="s">
        <v>9</v>
      </c>
      <c r="E16" s="16" t="s">
        <v>770</v>
      </c>
      <c r="F16" s="16" t="s">
        <v>208</v>
      </c>
    </row>
    <row r="17" spans="1:6" ht="37.5" x14ac:dyDescent="0.35">
      <c r="A17" s="15" t="s">
        <v>771</v>
      </c>
      <c r="B17" s="16" t="s">
        <v>772</v>
      </c>
      <c r="C17" s="15">
        <v>1</v>
      </c>
      <c r="D17" s="17" t="s">
        <v>9</v>
      </c>
      <c r="E17" s="16" t="s">
        <v>773</v>
      </c>
      <c r="F17" s="16" t="s">
        <v>296</v>
      </c>
    </row>
    <row r="18" spans="1:6" x14ac:dyDescent="0.35">
      <c r="A18" s="15" t="s">
        <v>774</v>
      </c>
      <c r="B18" s="16" t="s">
        <v>775</v>
      </c>
      <c r="C18" s="15">
        <v>1</v>
      </c>
      <c r="D18" s="17" t="s">
        <v>9</v>
      </c>
      <c r="E18" s="16"/>
      <c r="F18" s="16"/>
    </row>
    <row r="19" spans="1:6" x14ac:dyDescent="0.35">
      <c r="A19" s="15" t="s">
        <v>776</v>
      </c>
      <c r="B19" s="16" t="s">
        <v>777</v>
      </c>
      <c r="C19" s="15">
        <v>1</v>
      </c>
      <c r="D19" s="17" t="s">
        <v>9</v>
      </c>
      <c r="E19" s="16"/>
      <c r="F19" s="16"/>
    </row>
    <row r="20" spans="1:6" x14ac:dyDescent="0.35">
      <c r="A20" s="15" t="s">
        <v>778</v>
      </c>
      <c r="B20" s="16" t="s">
        <v>779</v>
      </c>
      <c r="C20" s="15">
        <v>1</v>
      </c>
      <c r="D20" s="17" t="s">
        <v>9</v>
      </c>
      <c r="E20" s="16"/>
      <c r="F20" s="16"/>
    </row>
    <row r="21" spans="1:6" x14ac:dyDescent="0.35">
      <c r="A21" s="15" t="s">
        <v>780</v>
      </c>
      <c r="B21" s="16" t="s">
        <v>781</v>
      </c>
      <c r="C21" s="15">
        <v>1</v>
      </c>
      <c r="D21" s="17" t="s">
        <v>11</v>
      </c>
      <c r="E21" s="16" t="s">
        <v>782</v>
      </c>
      <c r="F21" s="16" t="s">
        <v>783</v>
      </c>
    </row>
    <row r="22" spans="1:6" x14ac:dyDescent="0.35">
      <c r="A22" s="15" t="s">
        <v>784</v>
      </c>
      <c r="B22" s="16" t="s">
        <v>785</v>
      </c>
      <c r="C22" s="15">
        <v>1</v>
      </c>
      <c r="D22" s="17" t="s">
        <v>9</v>
      </c>
      <c r="E22" s="16"/>
      <c r="F22" s="16" t="s">
        <v>194</v>
      </c>
    </row>
    <row r="23" spans="1:6" x14ac:dyDescent="0.35">
      <c r="A23" s="15" t="s">
        <v>786</v>
      </c>
      <c r="B23" s="16" t="s">
        <v>787</v>
      </c>
      <c r="C23" s="15">
        <v>1</v>
      </c>
      <c r="D23" s="17" t="s">
        <v>9</v>
      </c>
      <c r="E23" s="16"/>
      <c r="F23" s="16" t="s">
        <v>201</v>
      </c>
    </row>
    <row r="24" spans="1:6" x14ac:dyDescent="0.35">
      <c r="A24" s="15" t="s">
        <v>788</v>
      </c>
      <c r="B24" s="16" t="s">
        <v>789</v>
      </c>
      <c r="C24" s="15">
        <v>1</v>
      </c>
      <c r="D24" s="17" t="s">
        <v>9</v>
      </c>
      <c r="E24" s="16"/>
      <c r="F24" s="16" t="s">
        <v>790</v>
      </c>
    </row>
    <row r="25" spans="1:6" x14ac:dyDescent="0.35">
      <c r="A25" s="15" t="s">
        <v>791</v>
      </c>
      <c r="B25" s="16" t="s">
        <v>792</v>
      </c>
      <c r="C25" s="15">
        <v>1</v>
      </c>
      <c r="D25" s="17" t="s">
        <v>9</v>
      </c>
      <c r="E25" s="16"/>
      <c r="F25" s="16" t="s">
        <v>242</v>
      </c>
    </row>
    <row r="26" spans="1:6" ht="50" x14ac:dyDescent="0.35">
      <c r="A26" s="15" t="s">
        <v>793</v>
      </c>
      <c r="B26" s="16" t="s">
        <v>794</v>
      </c>
      <c r="C26" s="15">
        <v>1</v>
      </c>
      <c r="D26" s="17" t="s">
        <v>9</v>
      </c>
      <c r="E26" s="16" t="s">
        <v>795</v>
      </c>
      <c r="F26" s="16" t="s">
        <v>796</v>
      </c>
    </row>
    <row r="27" spans="1:6" ht="25" x14ac:dyDescent="0.35">
      <c r="A27" s="15" t="s">
        <v>797</v>
      </c>
      <c r="B27" s="16" t="s">
        <v>371</v>
      </c>
      <c r="C27" s="15">
        <v>1</v>
      </c>
      <c r="D27" s="17" t="s">
        <v>9</v>
      </c>
      <c r="E27" s="16" t="s">
        <v>798</v>
      </c>
      <c r="F27" s="16" t="s">
        <v>303</v>
      </c>
    </row>
    <row r="28" spans="1:6" x14ac:dyDescent="0.35">
      <c r="A28" s="15" t="s">
        <v>799</v>
      </c>
      <c r="B28" s="16" t="s">
        <v>800</v>
      </c>
      <c r="C28" s="15">
        <v>2</v>
      </c>
      <c r="D28" s="17" t="s">
        <v>12</v>
      </c>
      <c r="E28" s="16"/>
      <c r="F28" s="16" t="s">
        <v>801</v>
      </c>
    </row>
    <row r="29" spans="1:6" x14ac:dyDescent="0.35">
      <c r="A29" s="15" t="s">
        <v>802</v>
      </c>
      <c r="B29" s="16" t="s">
        <v>803</v>
      </c>
      <c r="C29" s="15">
        <v>2</v>
      </c>
      <c r="D29" s="17" t="s">
        <v>12</v>
      </c>
      <c r="E29" s="16"/>
      <c r="F29" s="16" t="s">
        <v>407</v>
      </c>
    </row>
    <row r="30" spans="1:6" x14ac:dyDescent="0.35">
      <c r="A30" s="15" t="s">
        <v>804</v>
      </c>
      <c r="B30" s="16" t="s">
        <v>805</v>
      </c>
      <c r="C30" s="15">
        <v>2</v>
      </c>
      <c r="D30" s="17" t="s">
        <v>12</v>
      </c>
      <c r="E30" s="16"/>
      <c r="F30" s="16" t="s">
        <v>416</v>
      </c>
    </row>
    <row r="31" spans="1:6" x14ac:dyDescent="0.35">
      <c r="A31" s="15" t="s">
        <v>806</v>
      </c>
      <c r="B31" s="16" t="s">
        <v>807</v>
      </c>
      <c r="C31" s="15">
        <v>2</v>
      </c>
      <c r="D31" s="17" t="s">
        <v>12</v>
      </c>
      <c r="E31" s="16"/>
      <c r="F31" s="16" t="s">
        <v>429</v>
      </c>
    </row>
    <row r="32" spans="1:6" x14ac:dyDescent="0.35">
      <c r="A32" s="15" t="s">
        <v>808</v>
      </c>
      <c r="B32" s="16" t="s">
        <v>809</v>
      </c>
      <c r="C32" s="15">
        <v>2</v>
      </c>
      <c r="D32" s="17" t="s">
        <v>12</v>
      </c>
      <c r="E32" s="16"/>
      <c r="F32" s="16" t="s">
        <v>438</v>
      </c>
    </row>
    <row r="33" spans="1:6" x14ac:dyDescent="0.35">
      <c r="A33" s="15" t="s">
        <v>810</v>
      </c>
      <c r="B33" s="16" t="s">
        <v>811</v>
      </c>
      <c r="C33" s="15">
        <v>2</v>
      </c>
      <c r="D33" s="17" t="s">
        <v>12</v>
      </c>
      <c r="E33" s="16"/>
      <c r="F33" s="16" t="s">
        <v>442</v>
      </c>
    </row>
    <row r="34" spans="1:6" x14ac:dyDescent="0.35">
      <c r="A34" s="15" t="s">
        <v>812</v>
      </c>
      <c r="B34" s="16" t="s">
        <v>813</v>
      </c>
      <c r="C34" s="15">
        <v>3</v>
      </c>
      <c r="D34" s="17" t="s">
        <v>12</v>
      </c>
      <c r="E34" s="16"/>
      <c r="F34" s="16" t="s">
        <v>485</v>
      </c>
    </row>
    <row r="35" spans="1:6" x14ac:dyDescent="0.35">
      <c r="A35" s="15" t="s">
        <v>814</v>
      </c>
      <c r="B35" s="16" t="s">
        <v>815</v>
      </c>
      <c r="C35" s="15">
        <v>3</v>
      </c>
      <c r="D35" s="17" t="s">
        <v>12</v>
      </c>
      <c r="E35" s="16"/>
      <c r="F35" s="16" t="s">
        <v>816</v>
      </c>
    </row>
    <row r="36" spans="1:6" ht="37.5" x14ac:dyDescent="0.35">
      <c r="A36" s="15" t="s">
        <v>817</v>
      </c>
      <c r="B36" s="16" t="s">
        <v>818</v>
      </c>
      <c r="C36" s="15">
        <v>1</v>
      </c>
      <c r="D36" s="17" t="s">
        <v>11</v>
      </c>
      <c r="E36" s="16" t="s">
        <v>819</v>
      </c>
      <c r="F36" s="16" t="s">
        <v>171</v>
      </c>
    </row>
    <row r="37" spans="1:6" x14ac:dyDescent="0.35">
      <c r="A37" s="15" t="s">
        <v>820</v>
      </c>
      <c r="B37" s="16" t="s">
        <v>821</v>
      </c>
      <c r="C37" s="15">
        <v>4</v>
      </c>
      <c r="D37" s="17" t="s">
        <v>12</v>
      </c>
      <c r="E37" s="16"/>
      <c r="F37" s="16" t="s">
        <v>524</v>
      </c>
    </row>
    <row r="38" spans="1:6" x14ac:dyDescent="0.35">
      <c r="A38" s="15" t="s">
        <v>822</v>
      </c>
      <c r="B38" s="16" t="s">
        <v>823</v>
      </c>
      <c r="C38" s="15">
        <v>4</v>
      </c>
      <c r="D38" s="17" t="s">
        <v>12</v>
      </c>
      <c r="E38" s="16"/>
      <c r="F38" s="16" t="s">
        <v>553</v>
      </c>
    </row>
    <row r="39" spans="1:6" x14ac:dyDescent="0.35">
      <c r="A39" s="15" t="s">
        <v>824</v>
      </c>
      <c r="B39" s="16" t="s">
        <v>825</v>
      </c>
      <c r="C39" s="15">
        <v>4</v>
      </c>
      <c r="D39" s="17" t="s">
        <v>12</v>
      </c>
      <c r="E39" s="16"/>
      <c r="F39" s="16" t="s">
        <v>566</v>
      </c>
    </row>
    <row r="40" spans="1:6" x14ac:dyDescent="0.35">
      <c r="A40" s="15" t="s">
        <v>826</v>
      </c>
      <c r="B40" s="16" t="s">
        <v>718</v>
      </c>
      <c r="C40" s="15">
        <v>1</v>
      </c>
      <c r="D40" s="17" t="s">
        <v>9</v>
      </c>
      <c r="E40" s="16"/>
      <c r="F40" s="16" t="s">
        <v>249</v>
      </c>
    </row>
    <row r="41" spans="1:6" x14ac:dyDescent="0.35">
      <c r="A41" s="15" t="s">
        <v>827</v>
      </c>
      <c r="B41" s="16" t="s">
        <v>828</v>
      </c>
      <c r="C41" s="15">
        <v>1</v>
      </c>
      <c r="D41" s="17" t="s">
        <v>9</v>
      </c>
      <c r="E41" s="16"/>
      <c r="F41" s="16" t="s">
        <v>187</v>
      </c>
    </row>
    <row r="42" spans="1:6" x14ac:dyDescent="0.35">
      <c r="A42" s="15" t="s">
        <v>829</v>
      </c>
      <c r="B42" s="16" t="s">
        <v>721</v>
      </c>
      <c r="C42" s="15">
        <v>2</v>
      </c>
      <c r="D42" s="17" t="s">
        <v>12</v>
      </c>
      <c r="E42" s="16"/>
      <c r="F42" s="16" t="s">
        <v>466</v>
      </c>
    </row>
  </sheetData>
  <autoFilter ref="A1:F42" xr:uid="{00000000-0009-0000-0000-000004000000}"/>
  <conditionalFormatting sqref="D2:D72">
    <cfRule type="cellIs" dxfId="11" priority="1" operator="equal">
      <formula>"Done"</formula>
    </cfRule>
    <cfRule type="cellIs" dxfId="10" priority="2" operator="equal">
      <formula>"Partial"</formula>
    </cfRule>
    <cfRule type="cellIs" dxfId="9" priority="3" operator="equal">
      <formula>"Not started"</formula>
    </cfRule>
  </conditionalFormatting>
  <dataValidations count="1">
    <dataValidation type="list" sqref="D2:D72" xr:uid="{00000000-0002-0000-0400-000000000000}">
      <formula1>"Done,Partial,Not started"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8" customWidth="1"/>
    <col min="3" max="3" width="12" customWidth="1"/>
    <col min="4" max="4" width="52" customWidth="1"/>
    <col min="5" max="5" width="56" customWidth="1"/>
    <col min="6" max="6" width="9" customWidth="1"/>
    <col min="7" max="7" width="30" customWidth="1"/>
  </cols>
  <sheetData>
    <row r="1" spans="1:7" x14ac:dyDescent="0.35">
      <c r="A1" s="8" t="s">
        <v>830</v>
      </c>
      <c r="B1" s="8" t="s">
        <v>831</v>
      </c>
      <c r="C1" s="8" t="s">
        <v>832</v>
      </c>
      <c r="D1" s="8" t="s">
        <v>833</v>
      </c>
      <c r="E1" s="8" t="s">
        <v>834</v>
      </c>
      <c r="F1" s="8" t="s">
        <v>18</v>
      </c>
      <c r="G1" s="8" t="s">
        <v>583</v>
      </c>
    </row>
    <row r="2" spans="1:7" ht="37.5" x14ac:dyDescent="0.35">
      <c r="A2" s="16" t="s">
        <v>835</v>
      </c>
      <c r="B2" s="15" t="s">
        <v>836</v>
      </c>
      <c r="C2" s="17" t="s">
        <v>11</v>
      </c>
      <c r="D2" s="16" t="s">
        <v>837</v>
      </c>
      <c r="E2" s="16" t="s">
        <v>838</v>
      </c>
      <c r="F2" s="15" t="s">
        <v>640</v>
      </c>
      <c r="G2" s="16" t="s">
        <v>839</v>
      </c>
    </row>
    <row r="3" spans="1:7" ht="37.5" x14ac:dyDescent="0.35">
      <c r="A3" s="16" t="s">
        <v>840</v>
      </c>
      <c r="B3" s="15" t="s">
        <v>841</v>
      </c>
      <c r="C3" s="17" t="s">
        <v>11</v>
      </c>
      <c r="D3" s="16" t="s">
        <v>842</v>
      </c>
      <c r="E3" s="16" t="s">
        <v>843</v>
      </c>
      <c r="F3" s="15" t="s">
        <v>640</v>
      </c>
      <c r="G3" s="16" t="s">
        <v>844</v>
      </c>
    </row>
    <row r="4" spans="1:7" ht="25" x14ac:dyDescent="0.35">
      <c r="A4" s="16" t="s">
        <v>845</v>
      </c>
      <c r="B4" s="15" t="s">
        <v>846</v>
      </c>
      <c r="C4" s="17" t="s">
        <v>11</v>
      </c>
      <c r="D4" s="16" t="s">
        <v>847</v>
      </c>
      <c r="E4" s="16" t="s">
        <v>848</v>
      </c>
      <c r="F4" s="15" t="s">
        <v>640</v>
      </c>
      <c r="G4" s="16" t="s">
        <v>729</v>
      </c>
    </row>
    <row r="5" spans="1:7" ht="25" x14ac:dyDescent="0.35">
      <c r="A5" s="16" t="s">
        <v>849</v>
      </c>
      <c r="B5" s="15" t="s">
        <v>850</v>
      </c>
      <c r="C5" s="17" t="s">
        <v>12</v>
      </c>
      <c r="D5" s="16" t="s">
        <v>47</v>
      </c>
      <c r="E5" s="16" t="s">
        <v>851</v>
      </c>
      <c r="F5" s="15" t="s">
        <v>620</v>
      </c>
      <c r="G5" s="16" t="s">
        <v>852</v>
      </c>
    </row>
    <row r="6" spans="1:7" ht="25" x14ac:dyDescent="0.35">
      <c r="A6" s="16" t="s">
        <v>853</v>
      </c>
      <c r="B6" s="15" t="s">
        <v>854</v>
      </c>
      <c r="C6" s="17" t="s">
        <v>12</v>
      </c>
      <c r="D6" s="16" t="s">
        <v>47</v>
      </c>
      <c r="E6" s="16" t="s">
        <v>855</v>
      </c>
      <c r="F6" s="15" t="s">
        <v>608</v>
      </c>
      <c r="G6" s="16" t="s">
        <v>856</v>
      </c>
    </row>
    <row r="7" spans="1:7" x14ac:dyDescent="0.35">
      <c r="A7" s="16" t="s">
        <v>857</v>
      </c>
      <c r="B7" s="15" t="s">
        <v>680</v>
      </c>
      <c r="C7" s="17" t="s">
        <v>12</v>
      </c>
      <c r="D7" s="16" t="s">
        <v>858</v>
      </c>
      <c r="E7" s="16" t="s">
        <v>859</v>
      </c>
      <c r="F7" s="15" t="s">
        <v>608</v>
      </c>
      <c r="G7" s="16" t="s">
        <v>442</v>
      </c>
    </row>
    <row r="8" spans="1:7" x14ac:dyDescent="0.35">
      <c r="A8" s="16" t="s">
        <v>860</v>
      </c>
      <c r="B8" s="15" t="s">
        <v>861</v>
      </c>
      <c r="C8" s="17" t="s">
        <v>12</v>
      </c>
      <c r="D8" s="16" t="s">
        <v>862</v>
      </c>
      <c r="E8" s="16" t="s">
        <v>863</v>
      </c>
      <c r="F8" s="15" t="s">
        <v>864</v>
      </c>
      <c r="G8" s="16" t="s">
        <v>865</v>
      </c>
    </row>
  </sheetData>
  <conditionalFormatting sqref="C2:C37">
    <cfRule type="cellIs" dxfId="8" priority="1" operator="equal">
      <formula>"Done"</formula>
    </cfRule>
    <cfRule type="cellIs" dxfId="7" priority="2" operator="equal">
      <formula>"Partial"</formula>
    </cfRule>
    <cfRule type="cellIs" dxfId="6" priority="3" operator="equal">
      <formula>"Not started"</formula>
    </cfRule>
  </conditionalFormatting>
  <dataValidations count="1">
    <dataValidation type="list" sqref="C2:C37" xr:uid="{00000000-0002-0000-0500-000000000000}">
      <formula1>"Done,Partial,Not started"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9" customWidth="1"/>
    <col min="2" max="2" width="10" customWidth="1"/>
    <col min="3" max="3" width="70" customWidth="1"/>
    <col min="4" max="4" width="26" customWidth="1"/>
    <col min="5" max="5" width="14" customWidth="1"/>
    <col min="6" max="6" width="18" customWidth="1"/>
    <col min="7" max="7" width="36" customWidth="1"/>
    <col min="8" max="8" width="46" customWidth="1"/>
  </cols>
  <sheetData>
    <row r="1" spans="1:8" ht="18" x14ac:dyDescent="0.4">
      <c r="A1" s="20" t="s">
        <v>866</v>
      </c>
    </row>
    <row r="2" spans="1:8" ht="42" customHeight="1" x14ac:dyDescent="0.35">
      <c r="A2" s="22" t="s">
        <v>867</v>
      </c>
      <c r="B2" s="23"/>
      <c r="C2" s="23"/>
      <c r="D2" s="23"/>
      <c r="E2" s="23"/>
      <c r="F2" s="23"/>
      <c r="G2" s="23"/>
      <c r="H2" s="23"/>
    </row>
    <row r="3" spans="1:8" x14ac:dyDescent="0.35">
      <c r="A3" s="3" t="s">
        <v>868</v>
      </c>
      <c r="B3" s="6" t="str">
        <f>COUNTIF(F5:F34,"Verified (live)")&amp;" live-verified, "&amp;COUNTIF(F5:F34,"Verified (simulated)")&amp;" simulated, "&amp;COUNTIF(F5:F34,"Built")&amp;" built, "&amp;COUNTIF(F5:F34,"In progress")&amp;" in progress, "&amp;COUNTIF(F5:F34,"Not started")&amp;" not started, of "&amp;COUNTA(A5:A34)</f>
        <v>16 live-verified, 11 simulated, 0 built, 0 in progress, 3 not started, of 30</v>
      </c>
      <c r="G3" s="3" t="s">
        <v>869</v>
      </c>
      <c r="H3" s="3" t="str">
        <f>IF(COUNTIF(F5:F34,"Verified (live)")=COUNTA(A5:A34),"CLOSED","OPEN")</f>
        <v>OPEN</v>
      </c>
    </row>
    <row r="4" spans="1:8" ht="39" x14ac:dyDescent="0.35">
      <c r="A4" s="8" t="s">
        <v>28</v>
      </c>
      <c r="B4" s="8" t="s">
        <v>870</v>
      </c>
      <c r="C4" s="8" t="s">
        <v>871</v>
      </c>
      <c r="D4" s="8" t="s">
        <v>32</v>
      </c>
      <c r="E4" s="8" t="s">
        <v>872</v>
      </c>
      <c r="F4" s="8" t="s">
        <v>35</v>
      </c>
      <c r="G4" s="8" t="s">
        <v>41</v>
      </c>
      <c r="H4" s="8" t="s">
        <v>42</v>
      </c>
    </row>
    <row r="5" spans="1:8" ht="25" x14ac:dyDescent="0.35">
      <c r="A5" s="15" t="s">
        <v>873</v>
      </c>
      <c r="B5" s="15" t="s">
        <v>874</v>
      </c>
      <c r="C5" s="16" t="s">
        <v>875</v>
      </c>
      <c r="D5" s="16" t="s">
        <v>175</v>
      </c>
      <c r="E5" s="15"/>
      <c r="F5" s="17" t="s">
        <v>876</v>
      </c>
      <c r="G5" s="16" t="s">
        <v>877</v>
      </c>
      <c r="H5" s="16" t="s">
        <v>878</v>
      </c>
    </row>
    <row r="6" spans="1:8" ht="62.5" x14ac:dyDescent="0.35">
      <c r="A6" s="15" t="s">
        <v>879</v>
      </c>
      <c r="B6" s="15" t="s">
        <v>874</v>
      </c>
      <c r="C6" s="16" t="s">
        <v>880</v>
      </c>
      <c r="D6" s="16" t="s">
        <v>183</v>
      </c>
      <c r="E6" s="15"/>
      <c r="F6" s="17" t="s">
        <v>876</v>
      </c>
      <c r="G6" s="16" t="s">
        <v>881</v>
      </c>
      <c r="H6" s="16" t="s">
        <v>882</v>
      </c>
    </row>
    <row r="7" spans="1:8" ht="25" x14ac:dyDescent="0.35">
      <c r="A7" s="15" t="s">
        <v>883</v>
      </c>
      <c r="B7" s="15" t="s">
        <v>884</v>
      </c>
      <c r="C7" s="16" t="s">
        <v>885</v>
      </c>
      <c r="D7" s="16" t="s">
        <v>886</v>
      </c>
      <c r="E7" s="15"/>
      <c r="F7" s="17" t="s">
        <v>876</v>
      </c>
      <c r="G7" s="16" t="s">
        <v>887</v>
      </c>
      <c r="H7" s="16" t="s">
        <v>888</v>
      </c>
    </row>
    <row r="8" spans="1:8" ht="37.5" x14ac:dyDescent="0.35">
      <c r="A8" s="15" t="s">
        <v>889</v>
      </c>
      <c r="B8" s="15" t="s">
        <v>890</v>
      </c>
      <c r="C8" s="16" t="s">
        <v>891</v>
      </c>
      <c r="D8" s="16" t="s">
        <v>306</v>
      </c>
      <c r="E8" s="15" t="s">
        <v>892</v>
      </c>
      <c r="F8" s="17" t="s">
        <v>893</v>
      </c>
      <c r="G8" s="16" t="s">
        <v>894</v>
      </c>
      <c r="H8" s="16" t="s">
        <v>895</v>
      </c>
    </row>
    <row r="9" spans="1:8" ht="62.5" x14ac:dyDescent="0.35">
      <c r="A9" s="15" t="s">
        <v>896</v>
      </c>
      <c r="B9" s="15" t="s">
        <v>884</v>
      </c>
      <c r="C9" s="16" t="s">
        <v>897</v>
      </c>
      <c r="D9" s="16" t="s">
        <v>306</v>
      </c>
      <c r="E9" s="15" t="s">
        <v>892</v>
      </c>
      <c r="F9" s="17" t="s">
        <v>893</v>
      </c>
      <c r="G9" s="16" t="s">
        <v>898</v>
      </c>
      <c r="H9" s="16" t="s">
        <v>899</v>
      </c>
    </row>
    <row r="10" spans="1:8" ht="25" x14ac:dyDescent="0.35">
      <c r="A10" s="15" t="s">
        <v>900</v>
      </c>
      <c r="B10" s="15" t="s">
        <v>890</v>
      </c>
      <c r="C10" s="16" t="s">
        <v>901</v>
      </c>
      <c r="D10" s="16" t="s">
        <v>902</v>
      </c>
      <c r="E10" s="15" t="s">
        <v>892</v>
      </c>
      <c r="F10" s="17" t="s">
        <v>12</v>
      </c>
      <c r="G10" s="16"/>
      <c r="H10" s="16" t="s">
        <v>903</v>
      </c>
    </row>
    <row r="11" spans="1:8" ht="37.5" x14ac:dyDescent="0.35">
      <c r="A11" s="15" t="s">
        <v>904</v>
      </c>
      <c r="B11" s="15" t="s">
        <v>905</v>
      </c>
      <c r="C11" s="16" t="s">
        <v>906</v>
      </c>
      <c r="D11" s="16" t="s">
        <v>907</v>
      </c>
      <c r="E11" s="15"/>
      <c r="F11" s="17" t="s">
        <v>876</v>
      </c>
      <c r="G11" s="16" t="s">
        <v>908</v>
      </c>
      <c r="H11" s="16" t="s">
        <v>909</v>
      </c>
    </row>
    <row r="12" spans="1:8" ht="50" x14ac:dyDescent="0.35">
      <c r="A12" s="15" t="s">
        <v>910</v>
      </c>
      <c r="B12" s="15" t="s">
        <v>911</v>
      </c>
      <c r="C12" s="16" t="s">
        <v>912</v>
      </c>
      <c r="D12" s="16" t="s">
        <v>231</v>
      </c>
      <c r="E12" s="15"/>
      <c r="F12" s="17" t="s">
        <v>876</v>
      </c>
      <c r="G12" s="16" t="s">
        <v>913</v>
      </c>
      <c r="H12" s="16" t="s">
        <v>914</v>
      </c>
    </row>
    <row r="13" spans="1:8" ht="37.5" x14ac:dyDescent="0.35">
      <c r="A13" s="15" t="s">
        <v>915</v>
      </c>
      <c r="B13" s="15" t="s">
        <v>911</v>
      </c>
      <c r="C13" s="16" t="s">
        <v>916</v>
      </c>
      <c r="D13" s="16" t="s">
        <v>238</v>
      </c>
      <c r="E13" s="15"/>
      <c r="F13" s="17" t="s">
        <v>876</v>
      </c>
      <c r="G13" s="16" t="s">
        <v>917</v>
      </c>
      <c r="H13" s="16" t="s">
        <v>918</v>
      </c>
    </row>
    <row r="14" spans="1:8" ht="62.5" x14ac:dyDescent="0.35">
      <c r="A14" s="15" t="s">
        <v>919</v>
      </c>
      <c r="B14" s="15" t="s">
        <v>911</v>
      </c>
      <c r="C14" s="16" t="s">
        <v>920</v>
      </c>
      <c r="D14" s="16" t="s">
        <v>245</v>
      </c>
      <c r="E14" s="15"/>
      <c r="F14" s="17" t="s">
        <v>876</v>
      </c>
      <c r="G14" s="16" t="s">
        <v>921</v>
      </c>
      <c r="H14" s="16" t="s">
        <v>922</v>
      </c>
    </row>
    <row r="15" spans="1:8" ht="37.5" x14ac:dyDescent="0.35">
      <c r="A15" s="15" t="s">
        <v>923</v>
      </c>
      <c r="B15" s="15" t="s">
        <v>905</v>
      </c>
      <c r="C15" s="16" t="s">
        <v>924</v>
      </c>
      <c r="D15" s="16" t="s">
        <v>197</v>
      </c>
      <c r="E15" s="15"/>
      <c r="F15" s="17" t="s">
        <v>876</v>
      </c>
      <c r="G15" s="16" t="s">
        <v>925</v>
      </c>
      <c r="H15" s="16" t="s">
        <v>926</v>
      </c>
    </row>
    <row r="16" spans="1:8" ht="25" x14ac:dyDescent="0.35">
      <c r="A16" s="15" t="s">
        <v>927</v>
      </c>
      <c r="B16" s="15" t="s">
        <v>928</v>
      </c>
      <c r="C16" s="16" t="s">
        <v>929</v>
      </c>
      <c r="D16" s="16" t="s">
        <v>204</v>
      </c>
      <c r="E16" s="15"/>
      <c r="F16" s="17" t="s">
        <v>876</v>
      </c>
      <c r="G16" s="16" t="s">
        <v>930</v>
      </c>
      <c r="H16" s="16" t="s">
        <v>931</v>
      </c>
    </row>
    <row r="17" spans="1:8" ht="25" x14ac:dyDescent="0.35">
      <c r="A17" s="15" t="s">
        <v>932</v>
      </c>
      <c r="B17" s="15" t="s">
        <v>928</v>
      </c>
      <c r="C17" s="16" t="s">
        <v>933</v>
      </c>
      <c r="D17" s="16" t="s">
        <v>211</v>
      </c>
      <c r="E17" s="15"/>
      <c r="F17" s="17" t="s">
        <v>876</v>
      </c>
      <c r="G17" s="16" t="s">
        <v>934</v>
      </c>
      <c r="H17" s="16" t="s">
        <v>935</v>
      </c>
    </row>
    <row r="18" spans="1:8" ht="37.5" x14ac:dyDescent="0.35">
      <c r="A18" s="15" t="s">
        <v>936</v>
      </c>
      <c r="B18" s="15" t="s">
        <v>937</v>
      </c>
      <c r="C18" s="16" t="s">
        <v>938</v>
      </c>
      <c r="D18" s="16" t="s">
        <v>259</v>
      </c>
      <c r="E18" s="15" t="s">
        <v>892</v>
      </c>
      <c r="F18" s="17" t="s">
        <v>893</v>
      </c>
      <c r="G18" s="16" t="s">
        <v>939</v>
      </c>
      <c r="H18" s="16" t="s">
        <v>940</v>
      </c>
    </row>
    <row r="19" spans="1:8" x14ac:dyDescent="0.35">
      <c r="A19" s="15" t="s">
        <v>941</v>
      </c>
      <c r="B19" s="15" t="s">
        <v>937</v>
      </c>
      <c r="C19" s="16" t="s">
        <v>942</v>
      </c>
      <c r="D19" s="16" t="s">
        <v>943</v>
      </c>
      <c r="E19" s="15" t="s">
        <v>892</v>
      </c>
      <c r="F19" s="17" t="s">
        <v>12</v>
      </c>
      <c r="G19" s="16"/>
      <c r="H19" s="16"/>
    </row>
    <row r="20" spans="1:8" ht="25" x14ac:dyDescent="0.35">
      <c r="A20" s="15" t="s">
        <v>944</v>
      </c>
      <c r="B20" s="15" t="s">
        <v>937</v>
      </c>
      <c r="C20" s="16" t="s">
        <v>945</v>
      </c>
      <c r="D20" s="16" t="s">
        <v>266</v>
      </c>
      <c r="E20" s="15"/>
      <c r="F20" s="17" t="s">
        <v>876</v>
      </c>
      <c r="G20" s="16" t="s">
        <v>946</v>
      </c>
      <c r="H20" s="16"/>
    </row>
    <row r="21" spans="1:8" ht="37.5" x14ac:dyDescent="0.35">
      <c r="A21" s="15" t="s">
        <v>947</v>
      </c>
      <c r="B21" s="15" t="s">
        <v>948</v>
      </c>
      <c r="C21" s="16" t="s">
        <v>949</v>
      </c>
      <c r="D21" s="16" t="s">
        <v>950</v>
      </c>
      <c r="E21" s="15"/>
      <c r="F21" s="17" t="s">
        <v>893</v>
      </c>
      <c r="G21" s="16" t="s">
        <v>951</v>
      </c>
      <c r="H21" s="16" t="s">
        <v>952</v>
      </c>
    </row>
    <row r="22" spans="1:8" ht="37.5" x14ac:dyDescent="0.35">
      <c r="A22" s="15" t="s">
        <v>953</v>
      </c>
      <c r="B22" s="15" t="s">
        <v>874</v>
      </c>
      <c r="C22" s="16" t="s">
        <v>954</v>
      </c>
      <c r="D22" s="16" t="s">
        <v>292</v>
      </c>
      <c r="E22" s="15" t="s">
        <v>892</v>
      </c>
      <c r="F22" s="17" t="s">
        <v>893</v>
      </c>
      <c r="G22" s="16" t="s">
        <v>955</v>
      </c>
      <c r="H22" s="16" t="s">
        <v>956</v>
      </c>
    </row>
    <row r="23" spans="1:8" ht="37.5" x14ac:dyDescent="0.35">
      <c r="A23" s="15" t="s">
        <v>957</v>
      </c>
      <c r="B23" s="15" t="s">
        <v>937</v>
      </c>
      <c r="C23" s="16" t="s">
        <v>958</v>
      </c>
      <c r="D23" s="16" t="s">
        <v>299</v>
      </c>
      <c r="E23" s="15" t="s">
        <v>892</v>
      </c>
      <c r="F23" s="17" t="s">
        <v>893</v>
      </c>
      <c r="G23" s="16" t="s">
        <v>959</v>
      </c>
      <c r="H23" s="16" t="s">
        <v>960</v>
      </c>
    </row>
    <row r="24" spans="1:8" ht="25" x14ac:dyDescent="0.35">
      <c r="A24" s="15" t="s">
        <v>961</v>
      </c>
      <c r="B24" s="15" t="s">
        <v>874</v>
      </c>
      <c r="C24" s="16" t="s">
        <v>962</v>
      </c>
      <c r="D24" s="16" t="s">
        <v>252</v>
      </c>
      <c r="E24" s="15"/>
      <c r="F24" s="17" t="s">
        <v>876</v>
      </c>
      <c r="G24" s="16" t="s">
        <v>963</v>
      </c>
      <c r="H24" s="16" t="s">
        <v>964</v>
      </c>
    </row>
    <row r="25" spans="1:8" ht="37.5" x14ac:dyDescent="0.35">
      <c r="A25" s="15" t="s">
        <v>965</v>
      </c>
      <c r="B25" s="15" t="s">
        <v>874</v>
      </c>
      <c r="C25" s="16" t="s">
        <v>966</v>
      </c>
      <c r="D25" s="16" t="s">
        <v>272</v>
      </c>
      <c r="E25" s="15"/>
      <c r="F25" s="17" t="s">
        <v>893</v>
      </c>
      <c r="G25" s="16" t="s">
        <v>967</v>
      </c>
      <c r="H25" s="16" t="s">
        <v>968</v>
      </c>
    </row>
    <row r="26" spans="1:8" ht="25" x14ac:dyDescent="0.35">
      <c r="A26" s="15" t="s">
        <v>969</v>
      </c>
      <c r="B26" s="15" t="s">
        <v>874</v>
      </c>
      <c r="C26" s="16" t="s">
        <v>970</v>
      </c>
      <c r="D26" s="16" t="s">
        <v>279</v>
      </c>
      <c r="E26" s="15"/>
      <c r="F26" s="17" t="s">
        <v>893</v>
      </c>
      <c r="G26" s="16" t="s">
        <v>971</v>
      </c>
      <c r="H26" s="16" t="s">
        <v>972</v>
      </c>
    </row>
    <row r="27" spans="1:8" ht="25" x14ac:dyDescent="0.35">
      <c r="A27" s="15" t="s">
        <v>973</v>
      </c>
      <c r="B27" s="15" t="s">
        <v>874</v>
      </c>
      <c r="C27" s="16" t="s">
        <v>974</v>
      </c>
      <c r="D27" s="16" t="s">
        <v>376</v>
      </c>
      <c r="E27" s="15"/>
      <c r="F27" s="17" t="s">
        <v>12</v>
      </c>
      <c r="G27" s="16"/>
      <c r="H27" s="16" t="s">
        <v>975</v>
      </c>
    </row>
    <row r="28" spans="1:8" ht="25" x14ac:dyDescent="0.35">
      <c r="A28" s="15" t="s">
        <v>976</v>
      </c>
      <c r="B28" s="15" t="s">
        <v>874</v>
      </c>
      <c r="C28" s="16" t="s">
        <v>977</v>
      </c>
      <c r="D28" s="16" t="s">
        <v>113</v>
      </c>
      <c r="E28" s="15"/>
      <c r="F28" s="17" t="s">
        <v>876</v>
      </c>
      <c r="G28" s="16" t="s">
        <v>978</v>
      </c>
      <c r="H28" s="16" t="s">
        <v>979</v>
      </c>
    </row>
    <row r="29" spans="1:8" ht="50" x14ac:dyDescent="0.35">
      <c r="A29" s="15" t="s">
        <v>980</v>
      </c>
      <c r="B29" s="15" t="s">
        <v>874</v>
      </c>
      <c r="C29" s="16" t="s">
        <v>981</v>
      </c>
      <c r="D29" s="16" t="s">
        <v>982</v>
      </c>
      <c r="E29" s="15"/>
      <c r="F29" s="17" t="s">
        <v>876</v>
      </c>
      <c r="G29" s="16" t="s">
        <v>983</v>
      </c>
      <c r="H29" s="16" t="s">
        <v>984</v>
      </c>
    </row>
    <row r="30" spans="1:8" ht="37.5" x14ac:dyDescent="0.35">
      <c r="A30" s="15" t="s">
        <v>985</v>
      </c>
      <c r="B30" s="15" t="s">
        <v>874</v>
      </c>
      <c r="C30" s="16" t="s">
        <v>986</v>
      </c>
      <c r="D30" s="16" t="s">
        <v>327</v>
      </c>
      <c r="E30" s="15"/>
      <c r="F30" s="17" t="s">
        <v>876</v>
      </c>
      <c r="G30" s="16" t="s">
        <v>987</v>
      </c>
      <c r="H30" s="16" t="s">
        <v>988</v>
      </c>
    </row>
    <row r="31" spans="1:8" ht="25" x14ac:dyDescent="0.35">
      <c r="A31" s="15" t="s">
        <v>989</v>
      </c>
      <c r="B31" s="15" t="s">
        <v>874</v>
      </c>
      <c r="C31" s="16" t="s">
        <v>990</v>
      </c>
      <c r="D31" s="16" t="s">
        <v>334</v>
      </c>
      <c r="E31" s="15"/>
      <c r="F31" s="17" t="s">
        <v>893</v>
      </c>
      <c r="G31" s="16" t="s">
        <v>991</v>
      </c>
      <c r="H31" s="16" t="s">
        <v>992</v>
      </c>
    </row>
    <row r="32" spans="1:8" ht="25" x14ac:dyDescent="0.35">
      <c r="A32" s="15" t="s">
        <v>993</v>
      </c>
      <c r="B32" s="15" t="s">
        <v>874</v>
      </c>
      <c r="C32" s="16" t="s">
        <v>994</v>
      </c>
      <c r="D32" s="16" t="s">
        <v>995</v>
      </c>
      <c r="E32" s="15"/>
      <c r="F32" s="17" t="s">
        <v>893</v>
      </c>
      <c r="G32" s="16" t="s">
        <v>996</v>
      </c>
      <c r="H32" s="16" t="s">
        <v>997</v>
      </c>
    </row>
    <row r="33" spans="1:8" ht="25" x14ac:dyDescent="0.35">
      <c r="A33" s="15" t="s">
        <v>998</v>
      </c>
      <c r="B33" s="15" t="s">
        <v>874</v>
      </c>
      <c r="C33" s="16" t="s">
        <v>999</v>
      </c>
      <c r="D33" s="16" t="s">
        <v>47</v>
      </c>
      <c r="E33" s="15"/>
      <c r="F33" s="17" t="s">
        <v>893</v>
      </c>
      <c r="G33" s="16" t="s">
        <v>1000</v>
      </c>
      <c r="H33" s="16" t="s">
        <v>1001</v>
      </c>
    </row>
    <row r="34" spans="1:8" ht="25" x14ac:dyDescent="0.35">
      <c r="A34" s="15" t="s">
        <v>1002</v>
      </c>
      <c r="B34" s="15" t="s">
        <v>884</v>
      </c>
      <c r="C34" s="16" t="s">
        <v>1003</v>
      </c>
      <c r="D34" s="16" t="s">
        <v>147</v>
      </c>
      <c r="E34" s="15"/>
      <c r="F34" s="17" t="s">
        <v>876</v>
      </c>
      <c r="G34" s="16" t="s">
        <v>1004</v>
      </c>
      <c r="H34" s="16" t="s">
        <v>1005</v>
      </c>
    </row>
  </sheetData>
  <mergeCells count="1">
    <mergeCell ref="A2:H2"/>
  </mergeCells>
  <conditionalFormatting sqref="E5:E54">
    <cfRule type="cellIs" dxfId="5" priority="6" operator="equal">
      <formula>"LIVE-NEEDED"</formula>
    </cfRule>
  </conditionalFormatting>
  <conditionalFormatting sqref="F5:F54">
    <cfRule type="cellIs" dxfId="4" priority="1" operator="equal">
      <formula>"Verified (live)"</formula>
    </cfRule>
    <cfRule type="cellIs" dxfId="3" priority="2" operator="equal">
      <formula>"Verified (simulated)"</formula>
    </cfRule>
    <cfRule type="cellIs" dxfId="2" priority="3" operator="equal">
      <formula>"Built"</formula>
    </cfRule>
    <cfRule type="cellIs" dxfId="1" priority="4" operator="equal">
      <formula>"In progress"</formula>
    </cfRule>
    <cfRule type="cellIs" dxfId="0" priority="5" operator="equal">
      <formula>"Not started"</formula>
    </cfRule>
  </conditionalFormatting>
  <dataValidations count="1">
    <dataValidation type="list" sqref="F5:F54" xr:uid="{00000000-0002-0000-0600-000000000000}">
      <formula1>"Not started,In progress,Built,Verified (simulated),Verified (live)"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0" customWidth="1"/>
    <col min="3" max="3" width="26" customWidth="1"/>
    <col min="4" max="4" width="90" customWidth="1"/>
    <col min="5" max="5" width="26" customWidth="1"/>
  </cols>
  <sheetData>
    <row r="1" spans="1:5" x14ac:dyDescent="0.35">
      <c r="A1" s="8" t="s">
        <v>1006</v>
      </c>
      <c r="B1" s="8" t="s">
        <v>1007</v>
      </c>
      <c r="C1" s="8" t="s">
        <v>35</v>
      </c>
      <c r="D1" s="8" t="s">
        <v>1008</v>
      </c>
      <c r="E1" s="8" t="s">
        <v>1009</v>
      </c>
    </row>
    <row r="2" spans="1:5" ht="25" x14ac:dyDescent="0.35">
      <c r="A2" s="15" t="s">
        <v>1010</v>
      </c>
      <c r="B2" s="16" t="s">
        <v>1011</v>
      </c>
      <c r="C2" s="15" t="s">
        <v>1012</v>
      </c>
      <c r="D2" s="16" t="s">
        <v>1013</v>
      </c>
      <c r="E2" s="16" t="s">
        <v>47</v>
      </c>
    </row>
    <row r="3" spans="1:5" x14ac:dyDescent="0.35">
      <c r="A3" s="15" t="s">
        <v>1010</v>
      </c>
      <c r="B3" s="16" t="s">
        <v>1014</v>
      </c>
      <c r="C3" s="15" t="s">
        <v>1015</v>
      </c>
      <c r="D3" s="16" t="s">
        <v>1016</v>
      </c>
      <c r="E3" s="16" t="s">
        <v>1017</v>
      </c>
    </row>
    <row r="4" spans="1:5" x14ac:dyDescent="0.35">
      <c r="A4" s="15" t="s">
        <v>1010</v>
      </c>
      <c r="B4" s="16" t="s">
        <v>1018</v>
      </c>
      <c r="C4" s="15" t="s">
        <v>1019</v>
      </c>
      <c r="D4" s="16" t="s">
        <v>1020</v>
      </c>
      <c r="E4" s="16" t="s">
        <v>47</v>
      </c>
    </row>
    <row r="5" spans="1:5" ht="25" x14ac:dyDescent="0.35">
      <c r="A5" s="15" t="s">
        <v>1010</v>
      </c>
      <c r="B5" s="16" t="s">
        <v>1021</v>
      </c>
      <c r="C5" s="15" t="s">
        <v>1012</v>
      </c>
      <c r="D5" s="16" t="s">
        <v>1022</v>
      </c>
      <c r="E5" s="16" t="s">
        <v>47</v>
      </c>
    </row>
    <row r="6" spans="1:5" ht="25" x14ac:dyDescent="0.35">
      <c r="A6" s="15" t="s">
        <v>1010</v>
      </c>
      <c r="B6" s="16" t="s">
        <v>818</v>
      </c>
      <c r="C6" s="15" t="s">
        <v>1012</v>
      </c>
      <c r="D6" s="16" t="s">
        <v>1023</v>
      </c>
      <c r="E6" s="16" t="s">
        <v>47</v>
      </c>
    </row>
    <row r="7" spans="1:5" x14ac:dyDescent="0.35">
      <c r="A7" s="15" t="s">
        <v>1010</v>
      </c>
      <c r="B7" s="16" t="s">
        <v>1024</v>
      </c>
      <c r="C7" s="15" t="s">
        <v>1025</v>
      </c>
      <c r="D7" s="16" t="s">
        <v>1026</v>
      </c>
      <c r="E7" s="16" t="s">
        <v>1027</v>
      </c>
    </row>
    <row r="8" spans="1:5" ht="25" x14ac:dyDescent="0.35">
      <c r="A8" s="15" t="s">
        <v>1010</v>
      </c>
      <c r="B8" s="16" t="s">
        <v>1028</v>
      </c>
      <c r="C8" s="15" t="s">
        <v>1025</v>
      </c>
      <c r="D8" s="16" t="s">
        <v>1029</v>
      </c>
      <c r="E8" s="16" t="s">
        <v>1027</v>
      </c>
    </row>
    <row r="9" spans="1:5" x14ac:dyDescent="0.35">
      <c r="A9" s="15" t="s">
        <v>1010</v>
      </c>
      <c r="B9" s="16" t="s">
        <v>1030</v>
      </c>
      <c r="C9" s="15" t="s">
        <v>1031</v>
      </c>
      <c r="D9" s="16" t="s">
        <v>1032</v>
      </c>
      <c r="E9" s="16" t="s">
        <v>1033</v>
      </c>
    </row>
    <row r="10" spans="1:5" x14ac:dyDescent="0.35">
      <c r="A10" s="15" t="s">
        <v>1034</v>
      </c>
      <c r="B10" s="16" t="s">
        <v>1035</v>
      </c>
      <c r="C10" s="15" t="s">
        <v>1036</v>
      </c>
      <c r="D10" s="16" t="s">
        <v>1037</v>
      </c>
      <c r="E10" s="16" t="s">
        <v>1038</v>
      </c>
    </row>
    <row r="11" spans="1:5" ht="25" x14ac:dyDescent="0.35">
      <c r="A11" s="15" t="s">
        <v>1034</v>
      </c>
      <c r="B11" s="16" t="s">
        <v>1039</v>
      </c>
      <c r="C11" s="15" t="s">
        <v>1036</v>
      </c>
      <c r="D11" s="16" t="s">
        <v>1040</v>
      </c>
      <c r="E11" s="16" t="s">
        <v>1041</v>
      </c>
    </row>
    <row r="12" spans="1:5" x14ac:dyDescent="0.35">
      <c r="A12" s="15" t="s">
        <v>1034</v>
      </c>
      <c r="B12" s="16" t="s">
        <v>1042</v>
      </c>
      <c r="C12" s="15" t="s">
        <v>1036</v>
      </c>
      <c r="D12" s="16" t="s">
        <v>1043</v>
      </c>
      <c r="E12" s="16" t="s">
        <v>1044</v>
      </c>
    </row>
    <row r="13" spans="1:5" x14ac:dyDescent="0.35">
      <c r="A13" s="15" t="s">
        <v>1045</v>
      </c>
      <c r="B13" s="16" t="s">
        <v>1046</v>
      </c>
      <c r="C13" s="15" t="s">
        <v>1045</v>
      </c>
      <c r="D13" s="16" t="s">
        <v>1047</v>
      </c>
      <c r="E13" s="16" t="s">
        <v>1048</v>
      </c>
    </row>
    <row r="14" spans="1:5" x14ac:dyDescent="0.35">
      <c r="A14" s="15" t="s">
        <v>1045</v>
      </c>
      <c r="B14" s="16" t="s">
        <v>1049</v>
      </c>
      <c r="C14" s="15" t="s">
        <v>1045</v>
      </c>
      <c r="D14" s="16" t="s">
        <v>1050</v>
      </c>
      <c r="E14" s="16" t="s">
        <v>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/>
  </sheetViews>
  <sheetFormatPr defaultRowHeight="14.5" x14ac:dyDescent="0.35"/>
  <cols>
    <col min="1" max="1" width="20" customWidth="1"/>
    <col min="2" max="2" width="120" customWidth="1"/>
  </cols>
  <sheetData>
    <row r="1" spans="1:2" x14ac:dyDescent="0.35">
      <c r="A1" s="8" t="s">
        <v>1007</v>
      </c>
      <c r="B1" s="8" t="s">
        <v>1051</v>
      </c>
    </row>
    <row r="2" spans="1:2" x14ac:dyDescent="0.35">
      <c r="A2" s="3" t="s">
        <v>1011</v>
      </c>
      <c r="B2" s="21" t="s">
        <v>1052</v>
      </c>
    </row>
    <row r="3" spans="1:2" x14ac:dyDescent="0.35">
      <c r="A3" s="3" t="s">
        <v>1053</v>
      </c>
      <c r="B3" s="21" t="s">
        <v>1054</v>
      </c>
    </row>
    <row r="4" spans="1:2" x14ac:dyDescent="0.35">
      <c r="A4" s="3" t="s">
        <v>1055</v>
      </c>
      <c r="B4" s="21" t="s">
        <v>1056</v>
      </c>
    </row>
    <row r="5" spans="1:2" x14ac:dyDescent="0.35">
      <c r="A5" s="3" t="s">
        <v>1057</v>
      </c>
      <c r="B5" s="21" t="s">
        <v>1058</v>
      </c>
    </row>
    <row r="6" spans="1:2" x14ac:dyDescent="0.35">
      <c r="A6" s="3" t="s">
        <v>39</v>
      </c>
      <c r="B6" s="21" t="s">
        <v>1059</v>
      </c>
    </row>
    <row r="7" spans="1:2" x14ac:dyDescent="0.35">
      <c r="A7" s="3" t="s">
        <v>579</v>
      </c>
      <c r="B7" s="21" t="s">
        <v>1060</v>
      </c>
    </row>
    <row r="8" spans="1:2" x14ac:dyDescent="0.35">
      <c r="A8" s="3" t="s">
        <v>32</v>
      </c>
      <c r="B8" s="21" t="s">
        <v>1061</v>
      </c>
    </row>
    <row r="9" spans="1:2" x14ac:dyDescent="0.35">
      <c r="A9" s="3" t="s">
        <v>1062</v>
      </c>
      <c r="B9" s="21" t="s">
        <v>1063</v>
      </c>
    </row>
    <row r="10" spans="1:2" x14ac:dyDescent="0.35">
      <c r="A10" s="3" t="s">
        <v>1064</v>
      </c>
      <c r="B10" s="21" t="s">
        <v>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Task Tracker</vt:lpstr>
      <vt:lpstr>Next Tasks</vt:lpstr>
      <vt:lpstr>Requirements</vt:lpstr>
      <vt:lpstr>Acceptance Criteria</vt:lpstr>
      <vt:lpstr>Use Cases</vt:lpstr>
      <vt:lpstr>UC1 Definition of Done</vt:lpstr>
      <vt:lpstr>Decisions &amp; Risks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Devops || Enggis</cp:lastModifiedBy>
  <dcterms:created xsi:type="dcterms:W3CDTF">2026-10-30T17:24:24Z</dcterms:created>
  <dcterms:modified xsi:type="dcterms:W3CDTF">2026-10-30T17:24:29Z</dcterms:modified>
</cp:coreProperties>
</file>